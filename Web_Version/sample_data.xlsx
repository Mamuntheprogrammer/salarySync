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hedi" sheetId="1" r:id="rId4"/>
    <sheet state="visible" name="Sayem" sheetId="2" r:id="rId5"/>
    <sheet state="visible" name="Mishad" sheetId="3" r:id="rId6"/>
    <sheet state="visible" name="Samiul" sheetId="4" r:id="rId7"/>
    <sheet state="visible" name="Shantu" sheetId="5" r:id="rId8"/>
    <sheet state="visible" name="Biplob" sheetId="6" r:id="rId9"/>
    <sheet state="visible" name="Siam" sheetId="7" r:id="rId10"/>
    <sheet state="visible" name="Mamun" sheetId="8" r:id="rId11"/>
    <sheet state="visible" name="Sanowar" sheetId="9" r:id="rId12"/>
    <sheet state="visible" name="Rony" sheetId="10" r:id="rId13"/>
    <sheet state="visible" name="Rana" sheetId="11" r:id="rId14"/>
    <sheet state="visible" name="Rina" sheetId="12" r:id="rId15"/>
    <sheet state="visible" name="Shewly" sheetId="13" r:id="rId16"/>
    <sheet state="visible" name="Jumman" sheetId="14" r:id="rId17"/>
    <sheet state="visible" name="Hossain" sheetId="15" r:id="rId18"/>
  </sheets>
  <definedNames/>
  <calcPr/>
  <extLst>
    <ext uri="GoogleSheetsCustomDataVersion2">
      <go:sheetsCustomData xmlns:go="http://customooxmlschemas.google.com/" r:id="rId19" roundtripDataChecksum="TwO5dpu+aZYMtmImcXplgkspjvcasel4iP7+pIypXcw="/>
    </ext>
  </extLst>
</workbook>
</file>

<file path=xl/sharedStrings.xml><?xml version="1.0" encoding="utf-8"?>
<sst xmlns="http://schemas.openxmlformats.org/spreadsheetml/2006/main" count="214" uniqueCount="30">
  <si>
    <t>OFFICE TIMES</t>
  </si>
  <si>
    <t>September</t>
  </si>
  <si>
    <t>Mehedi</t>
  </si>
  <si>
    <t>IN TIME</t>
  </si>
  <si>
    <t>OUT TIME</t>
  </si>
  <si>
    <t>LATE ALLOW</t>
  </si>
  <si>
    <t>OVER TIME</t>
  </si>
  <si>
    <t>Joining Date:</t>
  </si>
  <si>
    <t>DATE</t>
  </si>
  <si>
    <t>TIME IN</t>
  </si>
  <si>
    <t>TIME OUT</t>
  </si>
  <si>
    <t>DUTY TIME</t>
  </si>
  <si>
    <t>Late</t>
  </si>
  <si>
    <t>Sayem</t>
  </si>
  <si>
    <t>Mishad</t>
  </si>
  <si>
    <t>Samiul</t>
  </si>
  <si>
    <t>Shantu</t>
  </si>
  <si>
    <t>Biplob</t>
  </si>
  <si>
    <t>Siam</t>
  </si>
  <si>
    <t>Govt. Holiday</t>
  </si>
  <si>
    <t>CS</t>
  </si>
  <si>
    <t>Mamun</t>
  </si>
  <si>
    <t>Sanowar</t>
  </si>
  <si>
    <t>Rony</t>
  </si>
  <si>
    <t>Adjusted on october 2025</t>
  </si>
  <si>
    <t>Rana</t>
  </si>
  <si>
    <t>Rina</t>
  </si>
  <si>
    <t>Shewly</t>
  </si>
  <si>
    <t>Jumman</t>
  </si>
  <si>
    <t>Hossain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</si>
</sst>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h:mm am/pm"/>
    <numFmt numFmtId="165" formatCode="[h]:mm"/>
    <numFmt numFmtId="166" formatCode="mm-dd-yyyy"/>
    <numFmt numFmtId="167" formatCode="d&quot;-&quot;mmm&quot;-&quot;yy"/>
  </numFmts>
  <fonts count="7">
    <font>
      <sz val="11.0"/>
      <color theme="1"/>
      <name val="Calibri"/>
      <scheme val="minor"/>
    </font>
    <font>
      <sz val="11.0"/>
      <color theme="1"/>
      <name val="Calibri"/>
    </font>
    <font>
      <sz val="11.0"/>
      <color theme="1"/>
      <name val="Arial"/>
    </font>
    <font>
      <b/>
      <sz val="11.0"/>
      <color theme="1"/>
      <name val="Calibri"/>
    </font>
    <font/>
    <font>
      <sz val="11.0"/>
      <color theme="1"/>
      <name val="Inconsolata"/>
    </font>
    <font>
      <color theme="1"/>
      <name val="Calibri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5B9BD5"/>
        <bgColor rgb="FF5B9BD5"/>
      </patternFill>
    </fill>
    <fill>
      <patternFill patternType="solid">
        <fgColor rgb="FFB7B7B7"/>
        <bgColor rgb="FFB7B7B7"/>
      </patternFill>
    </fill>
    <fill>
      <patternFill patternType="solid">
        <fgColor rgb="FFFF0000"/>
        <bgColor rgb="FFFF0000"/>
      </patternFill>
    </fill>
    <fill>
      <patternFill patternType="solid">
        <fgColor rgb="FF999999"/>
        <bgColor rgb="FF999999"/>
      </patternFill>
    </fill>
    <fill>
      <patternFill patternType="solid">
        <fgColor rgb="FF00FFFF"/>
        <bgColor rgb="FF00FFFF"/>
      </patternFill>
    </fill>
    <fill>
      <patternFill patternType="solid">
        <fgColor rgb="FFD9D9D9"/>
        <bgColor rgb="FFD9D9D9"/>
      </patternFill>
    </fill>
    <fill>
      <patternFill patternType="solid">
        <fgColor rgb="FF980000"/>
        <bgColor rgb="FF980000"/>
      </patternFill>
    </fill>
  </fills>
  <borders count="7">
    <border/>
    <border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2" fontId="2" numFmtId="0" xfId="0" applyAlignment="1" applyBorder="1" applyFont="1">
      <alignment horizontal="center" vertical="bottom"/>
    </xf>
    <xf borderId="2" fillId="2" fontId="2" numFmtId="0" xfId="0" applyAlignment="1" applyBorder="1" applyFont="1">
      <alignment horizontal="center" readingOrder="0" vertical="bottom"/>
    </xf>
    <xf borderId="2" fillId="2" fontId="1" numFmtId="0" xfId="0" applyAlignment="1" applyBorder="1" applyFont="1">
      <alignment vertical="bottom"/>
    </xf>
    <xf borderId="3" fillId="2" fontId="3" numFmtId="0" xfId="0" applyAlignment="1" applyBorder="1" applyFont="1">
      <alignment horizontal="center" vertical="bottom"/>
    </xf>
    <xf borderId="4" fillId="3" fontId="1" numFmtId="0" xfId="0" applyAlignment="1" applyBorder="1" applyFill="1" applyFont="1">
      <alignment horizontal="center" vertical="bottom"/>
    </xf>
    <xf borderId="4" fillId="3" fontId="1" numFmtId="0" xfId="0" applyAlignment="1" applyBorder="1" applyFont="1">
      <alignment vertical="bottom"/>
    </xf>
    <xf borderId="5" fillId="0" fontId="4" numFmtId="0" xfId="0" applyBorder="1" applyFont="1"/>
    <xf borderId="4" fillId="2" fontId="1" numFmtId="164" xfId="0" applyAlignment="1" applyBorder="1" applyFont="1" applyNumberFormat="1">
      <alignment horizontal="center" vertical="bottom"/>
    </xf>
    <xf borderId="4" fillId="2" fontId="1" numFmtId="164" xfId="0" applyAlignment="1" applyBorder="1" applyFont="1" applyNumberFormat="1">
      <alignment vertical="bottom"/>
    </xf>
    <xf borderId="4" fillId="2" fontId="5" numFmtId="165" xfId="0" applyAlignment="1" applyBorder="1" applyFont="1" applyNumberFormat="1">
      <alignment horizontal="center" vertical="bottom"/>
    </xf>
    <xf borderId="5" fillId="2" fontId="1" numFmtId="0" xfId="0" applyAlignment="1" applyBorder="1" applyFont="1">
      <alignment horizontal="center" vertical="bottom"/>
    </xf>
    <xf borderId="4" fillId="2" fontId="1" numFmtId="166" xfId="0" applyAlignment="1" applyBorder="1" applyFont="1" applyNumberFormat="1">
      <alignment vertical="bottom"/>
    </xf>
    <xf borderId="4" fillId="2" fontId="1" numFmtId="0" xfId="0" applyAlignment="1" applyBorder="1" applyFont="1">
      <alignment vertical="bottom"/>
    </xf>
    <xf borderId="0" fillId="0" fontId="6" numFmtId="165" xfId="0" applyFont="1" applyNumberFormat="1"/>
    <xf borderId="5" fillId="4" fontId="2" numFmtId="0" xfId="0" applyAlignment="1" applyBorder="1" applyFill="1" applyFont="1">
      <alignment horizontal="center" vertical="bottom"/>
    </xf>
    <xf borderId="4" fillId="4" fontId="2" numFmtId="0" xfId="0" applyAlignment="1" applyBorder="1" applyFont="1">
      <alignment horizontal="center" shrinkToFit="0" vertical="bottom" wrapText="1"/>
    </xf>
    <xf borderId="5" fillId="2" fontId="1" numFmtId="167" xfId="0" applyAlignment="1" applyBorder="1" applyFont="1" applyNumberFormat="1">
      <alignment horizontal="center" readingOrder="0" shrinkToFit="0" vertical="bottom" wrapText="1"/>
    </xf>
    <xf borderId="4" fillId="2" fontId="1" numFmtId="164" xfId="0" applyAlignment="1" applyBorder="1" applyFont="1" applyNumberFormat="1">
      <alignment horizontal="center" readingOrder="0" vertical="bottom"/>
    </xf>
    <xf borderId="4" fillId="2" fontId="1" numFmtId="20" xfId="0" applyAlignment="1" applyBorder="1" applyFont="1" applyNumberFormat="1">
      <alignment horizontal="center" vertical="bottom"/>
    </xf>
    <xf borderId="0" fillId="2" fontId="6" numFmtId="0" xfId="0" applyFont="1"/>
    <xf borderId="4" fillId="2" fontId="1" numFmtId="164" xfId="0" applyAlignment="1" applyBorder="1" applyFont="1" applyNumberFormat="1">
      <alignment horizontal="center" readingOrder="0" shrinkToFit="0" vertical="bottom" wrapText="1"/>
    </xf>
    <xf borderId="4" fillId="2" fontId="1" numFmtId="20" xfId="0" applyAlignment="1" applyBorder="1" applyFont="1" applyNumberFormat="1">
      <alignment horizontal="center" shrinkToFit="0" vertical="bottom" wrapText="1"/>
    </xf>
    <xf borderId="5" fillId="5" fontId="1" numFmtId="167" xfId="0" applyAlignment="1" applyBorder="1" applyFill="1" applyFont="1" applyNumberFormat="1">
      <alignment horizontal="center" readingOrder="0" shrinkToFit="0" vertical="bottom" wrapText="1"/>
    </xf>
    <xf borderId="6" fillId="5" fontId="1" numFmtId="164" xfId="0" applyAlignment="1" applyBorder="1" applyFont="1" applyNumberFormat="1">
      <alignment horizontal="center" shrinkToFit="0" vertical="bottom" wrapText="1"/>
    </xf>
    <xf borderId="6" fillId="5" fontId="1" numFmtId="20" xfId="0" applyAlignment="1" applyBorder="1" applyFont="1" applyNumberFormat="1">
      <alignment horizontal="center" shrinkToFit="0" vertical="bottom" wrapText="1"/>
    </xf>
    <xf borderId="4" fillId="5" fontId="1" numFmtId="20" xfId="0" applyAlignment="1" applyBorder="1" applyFont="1" applyNumberFormat="1">
      <alignment horizontal="center" vertical="bottom"/>
    </xf>
    <xf borderId="4" fillId="5" fontId="1" numFmtId="20" xfId="0" applyAlignment="1" applyBorder="1" applyFont="1" applyNumberFormat="1">
      <alignment horizontal="center" shrinkToFit="0" vertical="bottom" wrapText="1"/>
    </xf>
    <xf borderId="5" fillId="3" fontId="1" numFmtId="167" xfId="0" applyAlignment="1" applyBorder="1" applyFont="1" applyNumberFormat="1">
      <alignment horizontal="center" readingOrder="0" shrinkToFit="0" vertical="bottom" wrapText="1"/>
    </xf>
    <xf borderId="6" fillId="3" fontId="1" numFmtId="164" xfId="0" applyAlignment="1" applyBorder="1" applyFont="1" applyNumberFormat="1">
      <alignment horizontal="center" readingOrder="0" vertical="bottom"/>
    </xf>
    <xf borderId="6" fillId="3" fontId="1" numFmtId="20" xfId="0" applyAlignment="1" applyBorder="1" applyFont="1" applyNumberFormat="1">
      <alignment horizontal="center" vertical="bottom"/>
    </xf>
    <xf borderId="4" fillId="3" fontId="1" numFmtId="20" xfId="0" applyAlignment="1" applyBorder="1" applyFont="1" applyNumberFormat="1">
      <alignment horizontal="center" vertical="bottom"/>
    </xf>
    <xf borderId="6" fillId="2" fontId="1" numFmtId="164" xfId="0" applyAlignment="1" applyBorder="1" applyFont="1" applyNumberFormat="1">
      <alignment horizontal="center" readingOrder="0" vertical="bottom"/>
    </xf>
    <xf borderId="6" fillId="2" fontId="1" numFmtId="20" xfId="0" applyAlignment="1" applyBorder="1" applyFont="1" applyNumberFormat="1">
      <alignment horizontal="center" vertical="bottom"/>
    </xf>
    <xf borderId="6" fillId="3" fontId="1" numFmtId="164" xfId="0" applyAlignment="1" applyBorder="1" applyFont="1" applyNumberFormat="1">
      <alignment horizontal="center" vertical="bottom"/>
    </xf>
    <xf borderId="6" fillId="2" fontId="1" numFmtId="164" xfId="0" applyAlignment="1" applyBorder="1" applyFont="1" applyNumberFormat="1">
      <alignment horizontal="center" readingOrder="0" shrinkToFit="0" vertical="bottom" wrapText="1"/>
    </xf>
    <xf borderId="6" fillId="2" fontId="1" numFmtId="20" xfId="0" applyAlignment="1" applyBorder="1" applyFont="1" applyNumberFormat="1">
      <alignment horizontal="center" shrinkToFit="0" vertical="bottom" wrapText="1"/>
    </xf>
    <xf borderId="4" fillId="3" fontId="1" numFmtId="20" xfId="0" applyAlignment="1" applyBorder="1" applyFont="1" applyNumberFormat="1">
      <alignment horizontal="center" shrinkToFit="0" vertical="bottom" wrapText="1"/>
    </xf>
    <xf borderId="0" fillId="2" fontId="6" numFmtId="20" xfId="0" applyAlignment="1" applyFont="1" applyNumberFormat="1">
      <alignment readingOrder="0"/>
    </xf>
    <xf borderId="6" fillId="2" fontId="1" numFmtId="164" xfId="0" applyAlignment="1" applyBorder="1" applyFont="1" applyNumberFormat="1">
      <alignment horizontal="center" vertical="bottom"/>
    </xf>
    <xf borderId="3" fillId="2" fontId="3" numFmtId="0" xfId="0" applyAlignment="1" applyBorder="1" applyFont="1">
      <alignment horizontal="center" readingOrder="0" vertical="bottom"/>
    </xf>
    <xf borderId="0" fillId="2" fontId="6" numFmtId="165" xfId="0" applyFont="1" applyNumberFormat="1"/>
    <xf borderId="6" fillId="3" fontId="1" numFmtId="164" xfId="0" applyAlignment="1" applyBorder="1" applyFont="1" applyNumberFormat="1">
      <alignment horizontal="center" shrinkToFit="0" vertical="bottom" wrapText="1"/>
    </xf>
    <xf borderId="6" fillId="3" fontId="1" numFmtId="20" xfId="0" applyAlignment="1" applyBorder="1" applyFont="1" applyNumberFormat="1">
      <alignment horizontal="center" shrinkToFit="0" vertical="bottom" wrapText="1"/>
    </xf>
    <xf borderId="6" fillId="5" fontId="1" numFmtId="164" xfId="0" applyAlignment="1" applyBorder="1" applyFont="1" applyNumberFormat="1">
      <alignment horizontal="center" readingOrder="0" vertical="bottom"/>
    </xf>
    <xf borderId="6" fillId="5" fontId="1" numFmtId="20" xfId="0" applyAlignment="1" applyBorder="1" applyFont="1" applyNumberFormat="1">
      <alignment horizontal="center" vertical="bottom"/>
    </xf>
    <xf borderId="5" fillId="6" fontId="1" numFmtId="167" xfId="0" applyAlignment="1" applyBorder="1" applyFill="1" applyFont="1" applyNumberFormat="1">
      <alignment horizontal="center" readingOrder="0" shrinkToFit="0" vertical="bottom" wrapText="1"/>
    </xf>
    <xf borderId="6" fillId="6" fontId="1" numFmtId="164" xfId="0" applyAlignment="1" applyBorder="1" applyFont="1" applyNumberFormat="1">
      <alignment horizontal="center" vertical="bottom"/>
    </xf>
    <xf borderId="4" fillId="6" fontId="1" numFmtId="20" xfId="0" applyAlignment="1" applyBorder="1" applyFont="1" applyNumberFormat="1">
      <alignment horizontal="center" shrinkToFit="0" vertical="bottom" wrapText="1"/>
    </xf>
    <xf borderId="6" fillId="6" fontId="1" numFmtId="20" xfId="0" applyAlignment="1" applyBorder="1" applyFont="1" applyNumberFormat="1">
      <alignment horizontal="center" vertical="bottom"/>
    </xf>
    <xf borderId="4" fillId="6" fontId="1" numFmtId="20" xfId="0" applyAlignment="1" applyBorder="1" applyFont="1" applyNumberFormat="1">
      <alignment horizontal="center" vertical="bottom"/>
    </xf>
    <xf borderId="6" fillId="6" fontId="1" numFmtId="164" xfId="0" applyAlignment="1" applyBorder="1" applyFont="1" applyNumberFormat="1">
      <alignment horizontal="center" shrinkToFit="0" vertical="bottom" wrapText="1"/>
    </xf>
    <xf borderId="6" fillId="6" fontId="1" numFmtId="20" xfId="0" applyAlignment="1" applyBorder="1" applyFont="1" applyNumberFormat="1">
      <alignment horizontal="center" shrinkToFit="0" vertical="bottom" wrapText="1"/>
    </xf>
    <xf borderId="5" fillId="7" fontId="1" numFmtId="167" xfId="0" applyAlignment="1" applyBorder="1" applyFill="1" applyFont="1" applyNumberFormat="1">
      <alignment horizontal="center" readingOrder="0" shrinkToFit="0" vertical="bottom" wrapText="1"/>
    </xf>
    <xf borderId="6" fillId="7" fontId="1" numFmtId="164" xfId="0" applyAlignment="1" applyBorder="1" applyFont="1" applyNumberFormat="1">
      <alignment horizontal="center" vertical="bottom"/>
    </xf>
    <xf borderId="6" fillId="7" fontId="1" numFmtId="20" xfId="0" applyAlignment="1" applyBorder="1" applyFont="1" applyNumberFormat="1">
      <alignment horizontal="center" vertical="bottom"/>
    </xf>
    <xf borderId="4" fillId="7" fontId="1" numFmtId="20" xfId="0" applyAlignment="1" applyBorder="1" applyFont="1" applyNumberFormat="1">
      <alignment horizontal="center" vertical="bottom"/>
    </xf>
    <xf borderId="0" fillId="2" fontId="6" numFmtId="0" xfId="0" applyAlignment="1" applyFont="1">
      <alignment readingOrder="0"/>
    </xf>
    <xf borderId="0" fillId="8" fontId="6" numFmtId="0" xfId="0" applyAlignment="1" applyFill="1" applyFont="1">
      <alignment readingOrder="0"/>
    </xf>
    <xf borderId="4" fillId="3" fontId="1" numFmtId="164" xfId="0" applyAlignment="1" applyBorder="1" applyFont="1" applyNumberFormat="1">
      <alignment horizontal="center" vertical="bottom"/>
    </xf>
    <xf borderId="0" fillId="0" fontId="6" numFmtId="0" xfId="0" applyAlignment="1" applyFont="1">
      <alignment readingOrder="0"/>
    </xf>
    <xf borderId="5" fillId="9" fontId="1" numFmtId="167" xfId="0" applyAlignment="1" applyBorder="1" applyFill="1" applyFont="1" applyNumberFormat="1">
      <alignment horizontal="center" readingOrder="0" shrinkToFit="0" vertical="bottom" wrapText="1"/>
    </xf>
    <xf borderId="6" fillId="9" fontId="1" numFmtId="164" xfId="0" applyAlignment="1" applyBorder="1" applyFont="1" applyNumberFormat="1">
      <alignment horizontal="center" vertical="bottom"/>
    </xf>
    <xf borderId="6" fillId="9" fontId="1" numFmtId="20" xfId="0" applyAlignment="1" applyBorder="1" applyFont="1" applyNumberFormat="1">
      <alignment horizontal="center" vertical="bottom"/>
    </xf>
    <xf borderId="4" fillId="9" fontId="1" numFmtId="20" xfId="0" applyAlignment="1" applyBorder="1" applyFont="1" applyNumberFormat="1">
      <alignment horizontal="center" vertical="bottom"/>
    </xf>
    <xf borderId="6" fillId="5" fontId="1" numFmtId="164" xfId="0" applyAlignment="1" applyBorder="1" applyFont="1" applyNumberFormat="1">
      <alignment horizontal="center" vertical="bottom"/>
    </xf>
    <xf borderId="4" fillId="6" fontId="1" numFmtId="164" xfId="0" applyAlignment="1" applyBorder="1" applyFont="1" applyNumberFormat="1">
      <alignment horizontal="center" vertical="bottom"/>
    </xf>
    <xf borderId="4" fillId="2" fontId="1" numFmtId="164" xfId="0" applyAlignment="1" applyBorder="1" applyFont="1" applyNumberFormat="1">
      <alignment horizontal="center" shrinkToFit="0" vertical="bottom" wrapText="1"/>
    </xf>
    <xf borderId="4" fillId="9" fontId="1" numFmtId="20" xfId="0" applyAlignment="1" applyBorder="1" applyFont="1" applyNumberFormat="1">
      <alignment horizontal="center" shrinkToFit="0" vertical="bottom" wrapText="1"/>
    </xf>
    <xf borderId="4" fillId="10" fontId="1" numFmtId="164" xfId="0" applyAlignment="1" applyBorder="1" applyFill="1" applyFont="1" applyNumberFormat="1">
      <alignment horizontal="center" readingOrder="0" shrinkToFit="0" vertical="bottom" wrapText="1"/>
    </xf>
    <xf borderId="6" fillId="10" fontId="1" numFmtId="164" xfId="0" applyAlignment="1" applyBorder="1" applyFont="1" applyNumberForma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customschemas.google.com/relationships/workbookmetadata" Target="metadata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15.86"/>
    <col customWidth="1" min="3" max="3" width="14.0"/>
    <col customWidth="1" min="4" max="4" width="13.86"/>
    <col customWidth="1" min="5" max="5" width="12.86"/>
    <col customWidth="1" min="6" max="6" width="14.14"/>
    <col customWidth="1" min="7" max="26" width="8.71"/>
  </cols>
  <sheetData>
    <row r="1" ht="14.25" customHeight="1">
      <c r="A1" s="1"/>
      <c r="B1" s="2" t="s">
        <v>0</v>
      </c>
      <c r="C1" s="3" t="s">
        <v>1</v>
      </c>
      <c r="D1" s="2">
        <v>2025.0</v>
      </c>
      <c r="E1" s="4"/>
      <c r="F1" s="4"/>
    </row>
    <row r="2" ht="14.25" customHeight="1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  <c r="F2" s="7"/>
    </row>
    <row r="3" ht="14.25" customHeight="1">
      <c r="A3" s="8"/>
      <c r="B3" s="9">
        <v>0.4375</v>
      </c>
      <c r="C3" s="9">
        <v>0.8541666666666666</v>
      </c>
      <c r="D3" s="10"/>
      <c r="E3" s="11">
        <f t="shared" ref="E3:F3" si="1">SUM(E6:E36)</f>
        <v>0.2958333333</v>
      </c>
      <c r="F3" s="11">
        <f t="shared" si="1"/>
        <v>0</v>
      </c>
    </row>
    <row r="4" ht="14.25" customHeight="1">
      <c r="A4" s="12" t="s">
        <v>7</v>
      </c>
      <c r="B4" s="13"/>
      <c r="C4" s="14"/>
      <c r="D4" s="14"/>
      <c r="E4" s="13"/>
      <c r="F4" s="14"/>
      <c r="H4" s="15">
        <f>E3-G25</f>
        <v>0.004166666667</v>
      </c>
    </row>
    <row r="5" ht="14.25" customHeight="1">
      <c r="A5" s="16" t="s">
        <v>8</v>
      </c>
      <c r="B5" s="17" t="s">
        <v>9</v>
      </c>
      <c r="C5" s="17" t="s">
        <v>10</v>
      </c>
      <c r="D5" s="17" t="s">
        <v>11</v>
      </c>
      <c r="E5" s="17" t="s">
        <v>6</v>
      </c>
      <c r="F5" s="17" t="s">
        <v>12</v>
      </c>
    </row>
    <row r="6" ht="14.25" customHeight="1">
      <c r="A6" s="18">
        <v>45901.0</v>
      </c>
      <c r="B6" s="19">
        <v>0.43125</v>
      </c>
      <c r="C6" s="19">
        <v>0.8645833333333334</v>
      </c>
      <c r="D6" s="20">
        <f t="shared" ref="D6:D36" si="2">if(isblank(B6),"", mod((C6-B6),1))</f>
        <v>0.4333333333</v>
      </c>
      <c r="E6" s="20">
        <f t="shared" ref="E6:E36" si="3">IF(C6&gt;$C$3,C6-$C$3,"")</f>
        <v>0.01041666667</v>
      </c>
      <c r="F6" s="20">
        <f t="shared" ref="F6:F36" si="4">if(isblank(B6),"",IF($B$3&gt;B6,0,(B6-$B$3)))</f>
        <v>0</v>
      </c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ht="14.25" customHeight="1">
      <c r="A7" s="18">
        <v>45902.0</v>
      </c>
      <c r="B7" s="19">
        <v>0.42986111111111114</v>
      </c>
      <c r="C7" s="19">
        <v>0.8548611111111111</v>
      </c>
      <c r="D7" s="20">
        <f t="shared" si="2"/>
        <v>0.425</v>
      </c>
      <c r="E7" s="20">
        <f t="shared" si="3"/>
        <v>0.0006944444444</v>
      </c>
      <c r="F7" s="20">
        <f t="shared" si="4"/>
        <v>0</v>
      </c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ht="14.25" customHeight="1">
      <c r="A8" s="18">
        <v>45903.0</v>
      </c>
      <c r="B8" s="22">
        <v>0.42986111111111114</v>
      </c>
      <c r="C8" s="22">
        <v>0.875</v>
      </c>
      <c r="D8" s="23">
        <f t="shared" si="2"/>
        <v>0.4451388889</v>
      </c>
      <c r="E8" s="23">
        <f t="shared" si="3"/>
        <v>0.02083333333</v>
      </c>
      <c r="F8" s="23">
        <f t="shared" si="4"/>
        <v>0</v>
      </c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 ht="14.25" customHeight="1">
      <c r="A9" s="18">
        <v>45904.0</v>
      </c>
      <c r="B9" s="19">
        <v>0.43125</v>
      </c>
      <c r="C9" s="19">
        <v>0.8923611111111112</v>
      </c>
      <c r="D9" s="20">
        <f t="shared" si="2"/>
        <v>0.4611111111</v>
      </c>
      <c r="E9" s="20">
        <f t="shared" si="3"/>
        <v>0.03819444444</v>
      </c>
      <c r="F9" s="20">
        <f t="shared" si="4"/>
        <v>0</v>
      </c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 ht="14.25" customHeight="1">
      <c r="A10" s="24">
        <v>45905.0</v>
      </c>
      <c r="B10" s="25"/>
      <c r="C10" s="25"/>
      <c r="D10" s="26" t="str">
        <f t="shared" si="2"/>
        <v/>
      </c>
      <c r="E10" s="27" t="str">
        <f t="shared" si="3"/>
        <v/>
      </c>
      <c r="F10" s="28" t="str">
        <f t="shared" si="4"/>
        <v/>
      </c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 ht="14.25" customHeight="1">
      <c r="A11" s="29">
        <v>45906.0</v>
      </c>
      <c r="B11" s="30">
        <v>0.42986111111111114</v>
      </c>
      <c r="C11" s="30">
        <v>0.8694444444444445</v>
      </c>
      <c r="D11" s="31">
        <f t="shared" si="2"/>
        <v>0.4395833333</v>
      </c>
      <c r="E11" s="32">
        <f t="shared" si="3"/>
        <v>0.01527777778</v>
      </c>
      <c r="F11" s="32">
        <f t="shared" si="4"/>
        <v>0</v>
      </c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ht="14.25" customHeight="1">
      <c r="A12" s="18">
        <v>45907.0</v>
      </c>
      <c r="B12" s="33">
        <v>0.42916666666666664</v>
      </c>
      <c r="C12" s="33">
        <v>0.8694444444444445</v>
      </c>
      <c r="D12" s="34">
        <f t="shared" si="2"/>
        <v>0.4402777778</v>
      </c>
      <c r="E12" s="20">
        <f t="shared" si="3"/>
        <v>0.01527777778</v>
      </c>
      <c r="F12" s="20">
        <f t="shared" si="4"/>
        <v>0</v>
      </c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 ht="14.25" customHeight="1">
      <c r="A13" s="18">
        <v>45908.0</v>
      </c>
      <c r="B13" s="33">
        <v>0.43194444444444446</v>
      </c>
      <c r="C13" s="33">
        <v>0.8722222222222222</v>
      </c>
      <c r="D13" s="34">
        <f t="shared" si="2"/>
        <v>0.4402777778</v>
      </c>
      <c r="E13" s="20">
        <f t="shared" si="3"/>
        <v>0.01805555556</v>
      </c>
      <c r="F13" s="20">
        <f t="shared" si="4"/>
        <v>0</v>
      </c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ht="14.25" customHeight="1">
      <c r="A14" s="18">
        <v>45909.0</v>
      </c>
      <c r="B14" s="33">
        <v>0.43194444444444446</v>
      </c>
      <c r="C14" s="33">
        <v>0.8604166666666667</v>
      </c>
      <c r="D14" s="34">
        <f t="shared" si="2"/>
        <v>0.4284722222</v>
      </c>
      <c r="E14" s="20">
        <f t="shared" si="3"/>
        <v>0.00625</v>
      </c>
      <c r="F14" s="20">
        <f t="shared" si="4"/>
        <v>0</v>
      </c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ht="14.25" customHeight="1">
      <c r="A15" s="18">
        <v>45910.0</v>
      </c>
      <c r="B15" s="33">
        <v>0.4305555555555556</v>
      </c>
      <c r="C15" s="33">
        <v>0.8680555555555556</v>
      </c>
      <c r="D15" s="34">
        <f t="shared" si="2"/>
        <v>0.4375</v>
      </c>
      <c r="E15" s="20">
        <f t="shared" si="3"/>
        <v>0.01388888889</v>
      </c>
      <c r="F15" s="20">
        <f t="shared" si="4"/>
        <v>0</v>
      </c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ht="14.25" customHeight="1">
      <c r="A16" s="18">
        <v>45911.0</v>
      </c>
      <c r="B16" s="33">
        <v>0.4375</v>
      </c>
      <c r="C16" s="33">
        <v>0.8645833333333334</v>
      </c>
      <c r="D16" s="34">
        <f t="shared" si="2"/>
        <v>0.4270833333</v>
      </c>
      <c r="E16" s="20">
        <f t="shared" si="3"/>
        <v>0.01041666667</v>
      </c>
      <c r="F16" s="20">
        <f t="shared" si="4"/>
        <v>0</v>
      </c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ht="14.25" customHeight="1">
      <c r="A17" s="29">
        <v>45912.0</v>
      </c>
      <c r="B17" s="35"/>
      <c r="C17" s="35"/>
      <c r="D17" s="31" t="str">
        <f t="shared" si="2"/>
        <v/>
      </c>
      <c r="E17" s="32" t="str">
        <f t="shared" si="3"/>
        <v/>
      </c>
      <c r="F17" s="32" t="str">
        <f t="shared" si="4"/>
        <v/>
      </c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ht="14.25" customHeight="1">
      <c r="A18" s="18">
        <v>45913.0</v>
      </c>
      <c r="B18" s="33">
        <v>0.43472222222222223</v>
      </c>
      <c r="C18" s="33">
        <v>0.8652777777777778</v>
      </c>
      <c r="D18" s="34">
        <f t="shared" si="2"/>
        <v>0.4305555556</v>
      </c>
      <c r="E18" s="20">
        <f t="shared" si="3"/>
        <v>0.01111111111</v>
      </c>
      <c r="F18" s="20">
        <f t="shared" si="4"/>
        <v>0</v>
      </c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ht="14.25" customHeight="1">
      <c r="A19" s="18">
        <v>45914.0</v>
      </c>
      <c r="B19" s="36">
        <v>0.43194444444444446</v>
      </c>
      <c r="C19" s="33">
        <v>0.8631944444444445</v>
      </c>
      <c r="D19" s="37">
        <f t="shared" si="2"/>
        <v>0.43125</v>
      </c>
      <c r="E19" s="23">
        <f t="shared" si="3"/>
        <v>0.009027777778</v>
      </c>
      <c r="F19" s="23">
        <f t="shared" si="4"/>
        <v>0</v>
      </c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ht="14.25" customHeight="1">
      <c r="A20" s="18">
        <v>45915.0</v>
      </c>
      <c r="B20" s="33">
        <v>0.42986111111111114</v>
      </c>
      <c r="C20" s="33">
        <v>0.8736111111111111</v>
      </c>
      <c r="D20" s="34">
        <f t="shared" si="2"/>
        <v>0.44375</v>
      </c>
      <c r="E20" s="20">
        <f t="shared" si="3"/>
        <v>0.01944444444</v>
      </c>
      <c r="F20" s="20">
        <f t="shared" si="4"/>
        <v>0</v>
      </c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ht="14.25" customHeight="1">
      <c r="A21" s="18">
        <v>45916.0</v>
      </c>
      <c r="B21" s="33">
        <v>0.4326388888888889</v>
      </c>
      <c r="C21" s="33">
        <v>0.8645833333333334</v>
      </c>
      <c r="D21" s="20">
        <f t="shared" si="2"/>
        <v>0.4319444444</v>
      </c>
      <c r="E21" s="20">
        <f t="shared" si="3"/>
        <v>0.01041666667</v>
      </c>
      <c r="F21" s="20">
        <f t="shared" si="4"/>
        <v>0</v>
      </c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ht="14.25" customHeight="1">
      <c r="A22" s="18">
        <v>45917.0</v>
      </c>
      <c r="B22" s="33">
        <v>0.43333333333333335</v>
      </c>
      <c r="C22" s="33">
        <v>0.8694444444444445</v>
      </c>
      <c r="D22" s="23">
        <f t="shared" si="2"/>
        <v>0.4361111111</v>
      </c>
      <c r="E22" s="23">
        <f t="shared" si="3"/>
        <v>0.01527777778</v>
      </c>
      <c r="F22" s="23">
        <f t="shared" si="4"/>
        <v>0</v>
      </c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ht="14.25" customHeight="1">
      <c r="A23" s="18">
        <v>45918.0</v>
      </c>
      <c r="B23" s="33">
        <v>0.43333333333333335</v>
      </c>
      <c r="C23" s="33">
        <v>0.875</v>
      </c>
      <c r="D23" s="20">
        <f t="shared" si="2"/>
        <v>0.4416666667</v>
      </c>
      <c r="E23" s="20">
        <f t="shared" si="3"/>
        <v>0.02083333333</v>
      </c>
      <c r="F23" s="20">
        <f t="shared" si="4"/>
        <v>0</v>
      </c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ht="14.25" customHeight="1">
      <c r="A24" s="29">
        <v>45919.0</v>
      </c>
      <c r="B24" s="35"/>
      <c r="C24" s="35"/>
      <c r="D24" s="38" t="str">
        <f t="shared" si="2"/>
        <v/>
      </c>
      <c r="E24" s="32" t="str">
        <f t="shared" si="3"/>
        <v/>
      </c>
      <c r="F24" s="38" t="str">
        <f t="shared" si="4"/>
        <v/>
      </c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ht="14.25" customHeight="1">
      <c r="A25" s="18">
        <v>45920.0</v>
      </c>
      <c r="B25" s="33">
        <v>0.4326388888888889</v>
      </c>
      <c r="C25" s="33">
        <v>0.5625</v>
      </c>
      <c r="D25" s="20">
        <f t="shared" si="2"/>
        <v>0.1298611111</v>
      </c>
      <c r="E25" s="20" t="str">
        <f t="shared" si="3"/>
        <v/>
      </c>
      <c r="F25" s="20">
        <f t="shared" si="4"/>
        <v>0</v>
      </c>
      <c r="G25" s="39">
        <v>0.2916666666666667</v>
      </c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ht="14.25" customHeight="1">
      <c r="A26" s="18">
        <v>45921.0</v>
      </c>
      <c r="B26" s="33">
        <v>0.43333333333333335</v>
      </c>
      <c r="C26" s="33">
        <v>0.8548611111111111</v>
      </c>
      <c r="D26" s="23">
        <f t="shared" si="2"/>
        <v>0.4215277778</v>
      </c>
      <c r="E26" s="23">
        <f t="shared" si="3"/>
        <v>0.0006944444444</v>
      </c>
      <c r="F26" s="23">
        <f t="shared" si="4"/>
        <v>0</v>
      </c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ht="14.25" customHeight="1">
      <c r="A27" s="18">
        <v>45922.0</v>
      </c>
      <c r="B27" s="33">
        <v>0.43333333333333335</v>
      </c>
      <c r="C27" s="33">
        <v>0.8666666666666667</v>
      </c>
      <c r="D27" s="20">
        <f t="shared" si="2"/>
        <v>0.4333333333</v>
      </c>
      <c r="E27" s="20">
        <f t="shared" si="3"/>
        <v>0.0125</v>
      </c>
      <c r="F27" s="20">
        <f t="shared" si="4"/>
        <v>0</v>
      </c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ht="14.25" customHeight="1">
      <c r="A28" s="18">
        <v>45923.0</v>
      </c>
      <c r="B28" s="33">
        <v>0.4326388888888889</v>
      </c>
      <c r="C28" s="33">
        <v>0.8590277777777777</v>
      </c>
      <c r="D28" s="20">
        <f t="shared" si="2"/>
        <v>0.4263888889</v>
      </c>
      <c r="E28" s="20">
        <f t="shared" si="3"/>
        <v>0.004861111111</v>
      </c>
      <c r="F28" s="20">
        <f t="shared" si="4"/>
        <v>0</v>
      </c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ht="14.25" customHeight="1">
      <c r="A29" s="18">
        <v>45924.0</v>
      </c>
      <c r="B29" s="33">
        <v>0.42986111111111114</v>
      </c>
      <c r="C29" s="33">
        <v>0.8631944444444445</v>
      </c>
      <c r="D29" s="23">
        <f t="shared" si="2"/>
        <v>0.4333333333</v>
      </c>
      <c r="E29" s="23">
        <f t="shared" si="3"/>
        <v>0.009027777778</v>
      </c>
      <c r="F29" s="23">
        <f t="shared" si="4"/>
        <v>0</v>
      </c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 ht="14.25" customHeight="1">
      <c r="A30" s="18">
        <v>45925.0</v>
      </c>
      <c r="B30" s="33">
        <v>0.4375</v>
      </c>
      <c r="C30" s="33">
        <v>0.8548611111111111</v>
      </c>
      <c r="D30" s="20">
        <f t="shared" si="2"/>
        <v>0.4173611111</v>
      </c>
      <c r="E30" s="20">
        <f t="shared" si="3"/>
        <v>0.0006944444444</v>
      </c>
      <c r="F30" s="20">
        <f t="shared" si="4"/>
        <v>0</v>
      </c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 ht="14.25" customHeight="1">
      <c r="A31" s="29">
        <v>45926.0</v>
      </c>
      <c r="B31" s="35"/>
      <c r="C31" s="35"/>
      <c r="D31" s="38" t="str">
        <f t="shared" si="2"/>
        <v/>
      </c>
      <c r="E31" s="38" t="str">
        <f t="shared" si="3"/>
        <v/>
      </c>
      <c r="F31" s="38" t="str">
        <f t="shared" si="4"/>
        <v/>
      </c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 ht="14.25" customHeight="1">
      <c r="A32" s="18">
        <v>45927.0</v>
      </c>
      <c r="B32" s="33">
        <v>0.43125</v>
      </c>
      <c r="C32" s="33">
        <v>0.8590277777777777</v>
      </c>
      <c r="D32" s="23">
        <f t="shared" si="2"/>
        <v>0.4277777778</v>
      </c>
      <c r="E32" s="20">
        <f t="shared" si="3"/>
        <v>0.004861111111</v>
      </c>
      <c r="F32" s="23">
        <f t="shared" si="4"/>
        <v>0</v>
      </c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 ht="14.25" customHeight="1">
      <c r="A33" s="18">
        <v>45928.0</v>
      </c>
      <c r="B33" s="33">
        <v>0.42986111111111114</v>
      </c>
      <c r="C33" s="33">
        <v>0.8576388888888888</v>
      </c>
      <c r="D33" s="23">
        <f t="shared" si="2"/>
        <v>0.4277777778</v>
      </c>
      <c r="E33" s="20">
        <f t="shared" si="3"/>
        <v>0.003472222222</v>
      </c>
      <c r="F33" s="23">
        <f t="shared" si="4"/>
        <v>0</v>
      </c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ht="14.25" customHeight="1">
      <c r="A34" s="18">
        <v>45929.0</v>
      </c>
      <c r="B34" s="33">
        <v>0.43125</v>
      </c>
      <c r="C34" s="33">
        <v>0.8763888888888889</v>
      </c>
      <c r="D34" s="20">
        <f t="shared" si="2"/>
        <v>0.4451388889</v>
      </c>
      <c r="E34" s="20">
        <f t="shared" si="3"/>
        <v>0.02222222222</v>
      </c>
      <c r="F34" s="20">
        <f t="shared" si="4"/>
        <v>0</v>
      </c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ht="14.25" customHeight="1">
      <c r="A35" s="18">
        <v>45930.0</v>
      </c>
      <c r="B35" s="33">
        <v>0.4305555555555556</v>
      </c>
      <c r="C35" s="33">
        <v>0.85625</v>
      </c>
      <c r="D35" s="23">
        <f t="shared" si="2"/>
        <v>0.4256944444</v>
      </c>
      <c r="E35" s="23">
        <f t="shared" si="3"/>
        <v>0.002083333333</v>
      </c>
      <c r="F35" s="23">
        <f t="shared" si="4"/>
        <v>0</v>
      </c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ht="14.25" customHeight="1">
      <c r="A36" s="18"/>
      <c r="B36" s="40"/>
      <c r="C36" s="40"/>
      <c r="D36" s="23" t="str">
        <f t="shared" si="2"/>
        <v/>
      </c>
      <c r="E36" s="20" t="str">
        <f t="shared" si="3"/>
        <v/>
      </c>
      <c r="F36" s="23" t="str">
        <f t="shared" si="4"/>
        <v/>
      </c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ht="14.25" customHeight="1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2:A3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15.86"/>
    <col customWidth="1" min="3" max="3" width="14.0"/>
    <col customWidth="1" min="4" max="4" width="13.86"/>
    <col customWidth="1" min="5" max="5" width="12.86"/>
    <col customWidth="1" min="6" max="6" width="14.14"/>
    <col customWidth="1" min="7" max="26" width="8.71"/>
  </cols>
  <sheetData>
    <row r="1" ht="14.25" customHeight="1">
      <c r="A1" s="1"/>
      <c r="B1" s="2" t="s">
        <v>0</v>
      </c>
      <c r="C1" s="3" t="s">
        <v>1</v>
      </c>
      <c r="D1" s="2">
        <v>2025.0</v>
      </c>
      <c r="E1" s="4"/>
      <c r="F1" s="4"/>
    </row>
    <row r="2" ht="14.25" customHeight="1">
      <c r="A2" s="41" t="s">
        <v>13</v>
      </c>
      <c r="B2" s="6" t="s">
        <v>3</v>
      </c>
      <c r="C2" s="6" t="s">
        <v>4</v>
      </c>
      <c r="D2" s="6" t="s">
        <v>5</v>
      </c>
      <c r="E2" s="7" t="s">
        <v>6</v>
      </c>
      <c r="F2" s="7"/>
    </row>
    <row r="3" ht="14.25" customHeight="1">
      <c r="A3" s="8"/>
      <c r="B3" s="9">
        <v>0.4375</v>
      </c>
      <c r="C3" s="9">
        <v>0.8541666666666666</v>
      </c>
      <c r="D3" s="10"/>
      <c r="E3" s="11">
        <f t="shared" ref="E3:F3" si="1">SUM(E6:E36)</f>
        <v>0.2604166667</v>
      </c>
      <c r="F3" s="11">
        <f t="shared" si="1"/>
        <v>0.04305555556</v>
      </c>
    </row>
    <row r="4" ht="14.25" customHeight="1">
      <c r="A4" s="12" t="s">
        <v>7</v>
      </c>
      <c r="B4" s="13"/>
      <c r="C4" s="14"/>
      <c r="D4" s="14"/>
      <c r="E4" s="13"/>
      <c r="F4" s="14"/>
    </row>
    <row r="5" ht="14.25" customHeight="1">
      <c r="A5" s="16" t="s">
        <v>8</v>
      </c>
      <c r="B5" s="17" t="s">
        <v>9</v>
      </c>
      <c r="C5" s="17" t="s">
        <v>10</v>
      </c>
      <c r="D5" s="17" t="s">
        <v>11</v>
      </c>
      <c r="E5" s="17" t="s">
        <v>6</v>
      </c>
      <c r="F5" s="17" t="s">
        <v>12</v>
      </c>
    </row>
    <row r="6" ht="14.25" customHeight="1">
      <c r="A6" s="18">
        <v>45901.0</v>
      </c>
      <c r="B6" s="19">
        <v>0.4340277777777778</v>
      </c>
      <c r="C6" s="19">
        <v>0.8645833333333334</v>
      </c>
      <c r="D6" s="20">
        <f t="shared" ref="D6:D36" si="2">if(isblank(B6),"", mod((C6-B6),1))</f>
        <v>0.4305555556</v>
      </c>
      <c r="E6" s="20">
        <f t="shared" ref="E6:E36" si="3">IF(C6&gt;$C$3,C6-$C$3,"")</f>
        <v>0.01041666667</v>
      </c>
      <c r="F6" s="20">
        <f t="shared" ref="F6:F36" si="4">if(isblank(B6),"",IF($B$3&gt;B6,0,(B6-$B$3)))</f>
        <v>0</v>
      </c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ht="14.25" customHeight="1">
      <c r="A7" s="18">
        <v>45902.0</v>
      </c>
      <c r="B7" s="19">
        <v>0.43125</v>
      </c>
      <c r="C7" s="19">
        <v>0.8541666666666666</v>
      </c>
      <c r="D7" s="20">
        <f t="shared" si="2"/>
        <v>0.4229166667</v>
      </c>
      <c r="E7" s="20" t="str">
        <f t="shared" si="3"/>
        <v/>
      </c>
      <c r="F7" s="20">
        <f t="shared" si="4"/>
        <v>0</v>
      </c>
      <c r="G7" s="21"/>
      <c r="H7" s="21"/>
      <c r="I7" s="42">
        <f>E3-F3</f>
        <v>0.2173611111</v>
      </c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ht="14.25" customHeight="1">
      <c r="A8" s="18">
        <v>45903.0</v>
      </c>
      <c r="B8" s="22">
        <v>0.42986111111111114</v>
      </c>
      <c r="C8" s="22">
        <v>0.8701388888888889</v>
      </c>
      <c r="D8" s="23">
        <f t="shared" si="2"/>
        <v>0.4402777778</v>
      </c>
      <c r="E8" s="23">
        <f t="shared" si="3"/>
        <v>0.01597222222</v>
      </c>
      <c r="F8" s="23">
        <f t="shared" si="4"/>
        <v>0</v>
      </c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 ht="14.25" customHeight="1">
      <c r="A9" s="18">
        <v>45904.0</v>
      </c>
      <c r="B9" s="19">
        <v>0.43472222222222223</v>
      </c>
      <c r="C9" s="19">
        <v>0.8930555555555556</v>
      </c>
      <c r="D9" s="20">
        <f t="shared" si="2"/>
        <v>0.4583333333</v>
      </c>
      <c r="E9" s="20">
        <f t="shared" si="3"/>
        <v>0.03888888889</v>
      </c>
      <c r="F9" s="20">
        <f t="shared" si="4"/>
        <v>0</v>
      </c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 ht="14.25" customHeight="1">
      <c r="A10" s="29">
        <v>45905.0</v>
      </c>
      <c r="B10" s="43"/>
      <c r="C10" s="43"/>
      <c r="D10" s="44" t="str">
        <f t="shared" si="2"/>
        <v/>
      </c>
      <c r="E10" s="32" t="str">
        <f t="shared" si="3"/>
        <v/>
      </c>
      <c r="F10" s="38" t="str">
        <f t="shared" si="4"/>
        <v/>
      </c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 ht="14.25" customHeight="1">
      <c r="A11" s="24">
        <v>45906.0</v>
      </c>
      <c r="B11" s="45">
        <v>0.4354166666666667</v>
      </c>
      <c r="C11" s="45">
        <v>0.8694444444444445</v>
      </c>
      <c r="D11" s="46">
        <f t="shared" si="2"/>
        <v>0.4340277778</v>
      </c>
      <c r="E11" s="27">
        <f t="shared" si="3"/>
        <v>0.01527777778</v>
      </c>
      <c r="F11" s="27">
        <f t="shared" si="4"/>
        <v>0</v>
      </c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ht="14.25" customHeight="1">
      <c r="A12" s="18">
        <v>45907.0</v>
      </c>
      <c r="B12" s="33">
        <v>0.44305555555555554</v>
      </c>
      <c r="C12" s="33">
        <v>0.8694444444444445</v>
      </c>
      <c r="D12" s="34">
        <f t="shared" si="2"/>
        <v>0.4263888889</v>
      </c>
      <c r="E12" s="20">
        <f t="shared" si="3"/>
        <v>0.01527777778</v>
      </c>
      <c r="F12" s="20">
        <f t="shared" si="4"/>
        <v>0.005555555556</v>
      </c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 ht="14.25" customHeight="1">
      <c r="A13" s="18">
        <v>45908.0</v>
      </c>
      <c r="B13" s="33">
        <v>0.4354166666666667</v>
      </c>
      <c r="C13" s="33">
        <v>0.8541666666666666</v>
      </c>
      <c r="D13" s="34">
        <f t="shared" si="2"/>
        <v>0.41875</v>
      </c>
      <c r="E13" s="20" t="str">
        <f t="shared" si="3"/>
        <v/>
      </c>
      <c r="F13" s="20">
        <f t="shared" si="4"/>
        <v>0</v>
      </c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ht="14.25" customHeight="1">
      <c r="A14" s="18">
        <v>45909.0</v>
      </c>
      <c r="B14" s="33">
        <v>0.4361111111111111</v>
      </c>
      <c r="C14" s="33">
        <v>0.8604166666666667</v>
      </c>
      <c r="D14" s="34">
        <f t="shared" si="2"/>
        <v>0.4243055556</v>
      </c>
      <c r="E14" s="20">
        <f t="shared" si="3"/>
        <v>0.00625</v>
      </c>
      <c r="F14" s="20">
        <f t="shared" si="4"/>
        <v>0</v>
      </c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ht="14.25" customHeight="1">
      <c r="A15" s="18">
        <v>45910.0</v>
      </c>
      <c r="B15" s="33">
        <v>0.43194444444444446</v>
      </c>
      <c r="C15" s="33">
        <v>0.8555555555555555</v>
      </c>
      <c r="D15" s="34">
        <f t="shared" si="2"/>
        <v>0.4236111111</v>
      </c>
      <c r="E15" s="20">
        <f t="shared" si="3"/>
        <v>0.001388888889</v>
      </c>
      <c r="F15" s="20">
        <f t="shared" si="4"/>
        <v>0</v>
      </c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ht="14.25" customHeight="1">
      <c r="A16" s="18">
        <v>45911.0</v>
      </c>
      <c r="B16" s="33">
        <v>0.43194444444444446</v>
      </c>
      <c r="C16" s="33">
        <v>0.8638888888888889</v>
      </c>
      <c r="D16" s="34">
        <f t="shared" si="2"/>
        <v>0.4319444444</v>
      </c>
      <c r="E16" s="20">
        <f t="shared" si="3"/>
        <v>0.009722222222</v>
      </c>
      <c r="F16" s="20">
        <f t="shared" si="4"/>
        <v>0</v>
      </c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ht="14.25" customHeight="1">
      <c r="A17" s="29">
        <v>45912.0</v>
      </c>
      <c r="B17" s="35"/>
      <c r="C17" s="35"/>
      <c r="D17" s="31" t="str">
        <f t="shared" si="2"/>
        <v/>
      </c>
      <c r="E17" s="32" t="str">
        <f t="shared" si="3"/>
        <v/>
      </c>
      <c r="F17" s="32" t="str">
        <f t="shared" si="4"/>
        <v/>
      </c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ht="14.25" customHeight="1">
      <c r="A18" s="18">
        <v>45913.0</v>
      </c>
      <c r="B18" s="33">
        <v>0.4305555555555556</v>
      </c>
      <c r="C18" s="33">
        <v>0.8652777777777778</v>
      </c>
      <c r="D18" s="34">
        <f t="shared" si="2"/>
        <v>0.4347222222</v>
      </c>
      <c r="E18" s="20">
        <f t="shared" si="3"/>
        <v>0.01111111111</v>
      </c>
      <c r="F18" s="20">
        <f t="shared" si="4"/>
        <v>0</v>
      </c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ht="14.25" customHeight="1">
      <c r="A19" s="18">
        <v>45914.0</v>
      </c>
      <c r="B19" s="36">
        <v>0.44305555555555554</v>
      </c>
      <c r="C19" s="33">
        <v>0.8652777777777778</v>
      </c>
      <c r="D19" s="37">
        <f t="shared" si="2"/>
        <v>0.4222222222</v>
      </c>
      <c r="E19" s="23">
        <f t="shared" si="3"/>
        <v>0.01111111111</v>
      </c>
      <c r="F19" s="23">
        <f t="shared" si="4"/>
        <v>0.005555555556</v>
      </c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ht="14.25" customHeight="1">
      <c r="A20" s="18">
        <v>45915.0</v>
      </c>
      <c r="B20" s="33">
        <v>0.43125</v>
      </c>
      <c r="C20" s="33">
        <v>0.8541666666666666</v>
      </c>
      <c r="D20" s="34">
        <f t="shared" si="2"/>
        <v>0.4229166667</v>
      </c>
      <c r="E20" s="20" t="str">
        <f t="shared" si="3"/>
        <v/>
      </c>
      <c r="F20" s="20">
        <f t="shared" si="4"/>
        <v>0</v>
      </c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ht="14.25" customHeight="1">
      <c r="A21" s="18">
        <v>45916.0</v>
      </c>
      <c r="B21" s="33">
        <v>0.43194444444444446</v>
      </c>
      <c r="C21" s="33">
        <v>0.8638888888888889</v>
      </c>
      <c r="D21" s="20">
        <f t="shared" si="2"/>
        <v>0.4319444444</v>
      </c>
      <c r="E21" s="20">
        <f t="shared" si="3"/>
        <v>0.009722222222</v>
      </c>
      <c r="F21" s="20">
        <f t="shared" si="4"/>
        <v>0</v>
      </c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ht="14.25" customHeight="1">
      <c r="A22" s="47">
        <v>45917.0</v>
      </c>
      <c r="B22" s="48"/>
      <c r="C22" s="48"/>
      <c r="D22" s="49" t="str">
        <f t="shared" si="2"/>
        <v/>
      </c>
      <c r="E22" s="49" t="str">
        <f t="shared" si="3"/>
        <v/>
      </c>
      <c r="F22" s="49" t="str">
        <f t="shared" si="4"/>
        <v/>
      </c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ht="14.25" customHeight="1">
      <c r="A23" s="18">
        <v>45918.0</v>
      </c>
      <c r="B23" s="33">
        <v>0.43472222222222223</v>
      </c>
      <c r="C23" s="33">
        <v>0.875</v>
      </c>
      <c r="D23" s="20">
        <f t="shared" si="2"/>
        <v>0.4402777778</v>
      </c>
      <c r="E23" s="20">
        <f t="shared" si="3"/>
        <v>0.02083333333</v>
      </c>
      <c r="F23" s="20">
        <f t="shared" si="4"/>
        <v>0</v>
      </c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ht="14.25" customHeight="1">
      <c r="A24" s="29">
        <v>45919.0</v>
      </c>
      <c r="B24" s="35"/>
      <c r="C24" s="35"/>
      <c r="D24" s="38" t="str">
        <f t="shared" si="2"/>
        <v/>
      </c>
      <c r="E24" s="32" t="str">
        <f t="shared" si="3"/>
        <v/>
      </c>
      <c r="F24" s="38" t="str">
        <f t="shared" si="4"/>
        <v/>
      </c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ht="14.25" customHeight="1">
      <c r="A25" s="18">
        <v>45920.0</v>
      </c>
      <c r="B25" s="33">
        <v>0.43680555555555556</v>
      </c>
      <c r="C25" s="33">
        <v>0.8590277777777777</v>
      </c>
      <c r="D25" s="20">
        <f t="shared" si="2"/>
        <v>0.4222222222</v>
      </c>
      <c r="E25" s="20">
        <f t="shared" si="3"/>
        <v>0.004861111111</v>
      </c>
      <c r="F25" s="20">
        <f t="shared" si="4"/>
        <v>0</v>
      </c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ht="14.25" customHeight="1">
      <c r="A26" s="18">
        <v>45921.0</v>
      </c>
      <c r="B26" s="33">
        <v>0.4361111111111111</v>
      </c>
      <c r="C26" s="33">
        <v>0.8541666666666666</v>
      </c>
      <c r="D26" s="23">
        <f t="shared" si="2"/>
        <v>0.4180555556</v>
      </c>
      <c r="E26" s="23" t="str">
        <f t="shared" si="3"/>
        <v/>
      </c>
      <c r="F26" s="23">
        <f t="shared" si="4"/>
        <v>0</v>
      </c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ht="14.25" customHeight="1">
      <c r="A27" s="18">
        <v>45922.0</v>
      </c>
      <c r="B27" s="33">
        <v>0.46944444444444444</v>
      </c>
      <c r="C27" s="33">
        <v>0.8659722222222223</v>
      </c>
      <c r="D27" s="20">
        <f t="shared" si="2"/>
        <v>0.3965277778</v>
      </c>
      <c r="E27" s="20">
        <f t="shared" si="3"/>
        <v>0.01180555556</v>
      </c>
      <c r="F27" s="20">
        <f t="shared" si="4"/>
        <v>0.03194444444</v>
      </c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ht="14.25" customHeight="1">
      <c r="A28" s="18">
        <v>45923.0</v>
      </c>
      <c r="B28" s="33">
        <v>0.43680555555555556</v>
      </c>
      <c r="C28" s="33">
        <v>0.8590277777777777</v>
      </c>
      <c r="D28" s="20">
        <f t="shared" si="2"/>
        <v>0.4222222222</v>
      </c>
      <c r="E28" s="20">
        <f t="shared" si="3"/>
        <v>0.004861111111</v>
      </c>
      <c r="F28" s="20">
        <f t="shared" si="4"/>
        <v>0</v>
      </c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ht="14.25" customHeight="1">
      <c r="A29" s="18">
        <v>45924.0</v>
      </c>
      <c r="B29" s="33">
        <v>0.4326388888888889</v>
      </c>
      <c r="C29" s="33">
        <v>0.8631944444444445</v>
      </c>
      <c r="D29" s="23">
        <f t="shared" si="2"/>
        <v>0.4305555556</v>
      </c>
      <c r="E29" s="23">
        <f t="shared" si="3"/>
        <v>0.009027777778</v>
      </c>
      <c r="F29" s="23">
        <f t="shared" si="4"/>
        <v>0</v>
      </c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 ht="14.25" customHeight="1">
      <c r="A30" s="18">
        <v>45925.0</v>
      </c>
      <c r="B30" s="33">
        <v>0.43333333333333335</v>
      </c>
      <c r="C30" s="33">
        <v>0.8611111111111112</v>
      </c>
      <c r="D30" s="20">
        <f t="shared" si="2"/>
        <v>0.4277777778</v>
      </c>
      <c r="E30" s="20">
        <f t="shared" si="3"/>
        <v>0.006944444444</v>
      </c>
      <c r="F30" s="20">
        <f t="shared" si="4"/>
        <v>0</v>
      </c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 ht="14.25" customHeight="1">
      <c r="A31" s="29">
        <v>45926.0</v>
      </c>
      <c r="B31" s="35"/>
      <c r="C31" s="35"/>
      <c r="D31" s="38" t="str">
        <f t="shared" si="2"/>
        <v/>
      </c>
      <c r="E31" s="38" t="str">
        <f t="shared" si="3"/>
        <v/>
      </c>
      <c r="F31" s="38" t="str">
        <f t="shared" si="4"/>
        <v/>
      </c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 ht="14.25" customHeight="1">
      <c r="A32" s="18">
        <v>45927.0</v>
      </c>
      <c r="B32" s="33">
        <v>0.43680555555555556</v>
      </c>
      <c r="C32" s="33">
        <v>0.8590277777777777</v>
      </c>
      <c r="D32" s="23">
        <f t="shared" si="2"/>
        <v>0.4222222222</v>
      </c>
      <c r="E32" s="20">
        <f t="shared" si="3"/>
        <v>0.004861111111</v>
      </c>
      <c r="F32" s="23">
        <f t="shared" si="4"/>
        <v>0</v>
      </c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 ht="14.25" customHeight="1">
      <c r="A33" s="18">
        <v>45928.0</v>
      </c>
      <c r="B33" s="33">
        <v>0.4361111111111111</v>
      </c>
      <c r="C33" s="33">
        <v>0.8763888888888889</v>
      </c>
      <c r="D33" s="23">
        <f t="shared" si="2"/>
        <v>0.4402777778</v>
      </c>
      <c r="E33" s="20">
        <f t="shared" si="3"/>
        <v>0.02222222222</v>
      </c>
      <c r="F33" s="23">
        <f t="shared" si="4"/>
        <v>0</v>
      </c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ht="14.25" customHeight="1">
      <c r="A34" s="18">
        <v>45929.0</v>
      </c>
      <c r="B34" s="33">
        <v>0.43472222222222223</v>
      </c>
      <c r="C34" s="33">
        <v>0.8819444444444444</v>
      </c>
      <c r="D34" s="20">
        <f t="shared" si="2"/>
        <v>0.4472222222</v>
      </c>
      <c r="E34" s="20">
        <f t="shared" si="3"/>
        <v>0.02777777778</v>
      </c>
      <c r="F34" s="20">
        <f t="shared" si="4"/>
        <v>0</v>
      </c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ht="14.25" customHeight="1">
      <c r="A35" s="18">
        <v>45930.0</v>
      </c>
      <c r="B35" s="33">
        <v>0.43680555555555556</v>
      </c>
      <c r="C35" s="33">
        <v>0.85625</v>
      </c>
      <c r="D35" s="23">
        <f t="shared" si="2"/>
        <v>0.4194444444</v>
      </c>
      <c r="E35" s="23">
        <f t="shared" si="3"/>
        <v>0.002083333333</v>
      </c>
      <c r="F35" s="23">
        <f t="shared" si="4"/>
        <v>0</v>
      </c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ht="14.25" customHeight="1">
      <c r="A36" s="18"/>
      <c r="B36" s="40"/>
      <c r="C36" s="40"/>
      <c r="D36" s="23" t="str">
        <f t="shared" si="2"/>
        <v/>
      </c>
      <c r="E36" s="20" t="str">
        <f t="shared" si="3"/>
        <v/>
      </c>
      <c r="F36" s="23" t="str">
        <f t="shared" si="4"/>
        <v/>
      </c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ht="14.25" customHeight="1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2:A3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15.86"/>
    <col customWidth="1" min="3" max="3" width="14.0"/>
    <col customWidth="1" min="4" max="4" width="13.86"/>
    <col customWidth="1" min="5" max="5" width="12.86"/>
    <col customWidth="1" min="6" max="6" width="14.14"/>
    <col customWidth="1" min="7" max="26" width="8.71"/>
  </cols>
  <sheetData>
    <row r="1" ht="14.25" customHeight="1">
      <c r="A1" s="1"/>
      <c r="B1" s="2" t="s">
        <v>0</v>
      </c>
      <c r="C1" s="3" t="s">
        <v>1</v>
      </c>
      <c r="D1" s="2">
        <v>2025.0</v>
      </c>
      <c r="E1" s="4"/>
      <c r="F1" s="4"/>
    </row>
    <row r="2" ht="14.25" customHeight="1">
      <c r="A2" s="41" t="s">
        <v>14</v>
      </c>
      <c r="B2" s="6" t="s">
        <v>3</v>
      </c>
      <c r="C2" s="6" t="s">
        <v>4</v>
      </c>
      <c r="D2" s="6" t="s">
        <v>5</v>
      </c>
      <c r="E2" s="7" t="s">
        <v>6</v>
      </c>
      <c r="F2" s="7"/>
    </row>
    <row r="3" ht="14.25" customHeight="1">
      <c r="A3" s="8"/>
      <c r="B3" s="9">
        <v>0.4375</v>
      </c>
      <c r="C3" s="9">
        <v>0.8541666666666666</v>
      </c>
      <c r="D3" s="10"/>
      <c r="E3" s="11">
        <f t="shared" ref="E3:F3" si="1">SUM(E6:E36)</f>
        <v>0.2819444444</v>
      </c>
      <c r="F3" s="11">
        <f t="shared" si="1"/>
        <v>0.001388888889</v>
      </c>
    </row>
    <row r="4" ht="14.25" customHeight="1">
      <c r="A4" s="12" t="s">
        <v>7</v>
      </c>
      <c r="B4" s="13"/>
      <c r="C4" s="14"/>
      <c r="D4" s="14"/>
      <c r="E4" s="13"/>
      <c r="F4" s="14"/>
    </row>
    <row r="5" ht="14.25" customHeight="1">
      <c r="A5" s="16" t="s">
        <v>8</v>
      </c>
      <c r="B5" s="17" t="s">
        <v>9</v>
      </c>
      <c r="C5" s="17" t="s">
        <v>10</v>
      </c>
      <c r="D5" s="17" t="s">
        <v>11</v>
      </c>
      <c r="E5" s="17" t="s">
        <v>6</v>
      </c>
      <c r="F5" s="17" t="s">
        <v>12</v>
      </c>
    </row>
    <row r="6" ht="14.25" customHeight="1">
      <c r="A6" s="18">
        <v>45901.0</v>
      </c>
      <c r="B6" s="19">
        <v>0.4340277777777778</v>
      </c>
      <c r="C6" s="19">
        <v>0.8569444444444444</v>
      </c>
      <c r="D6" s="20">
        <f t="shared" ref="D6:D36" si="2">if(isblank(B6),"", mod((C6-B6),1))</f>
        <v>0.4229166667</v>
      </c>
      <c r="E6" s="20">
        <f t="shared" ref="E6:E36" si="3">IF(C6&gt;$C$3,C6-$C$3,"")</f>
        <v>0.002777777778</v>
      </c>
      <c r="F6" s="20">
        <f t="shared" ref="F6:F36" si="4">if(isblank(B6),"",IF($B$3&gt;B6,0,(B6-$B$3)))</f>
        <v>0</v>
      </c>
      <c r="G6" s="21"/>
      <c r="H6" s="21"/>
      <c r="I6" s="42">
        <f>E3-F3</f>
        <v>0.2805555556</v>
      </c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ht="14.25" customHeight="1">
      <c r="A7" s="18">
        <v>45902.0</v>
      </c>
      <c r="B7" s="19">
        <v>0.42986111111111114</v>
      </c>
      <c r="C7" s="19">
        <v>0.8548611111111111</v>
      </c>
      <c r="D7" s="20">
        <f t="shared" si="2"/>
        <v>0.425</v>
      </c>
      <c r="E7" s="20">
        <f t="shared" si="3"/>
        <v>0.0006944444444</v>
      </c>
      <c r="F7" s="20">
        <f t="shared" si="4"/>
        <v>0</v>
      </c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ht="14.25" customHeight="1">
      <c r="A8" s="18">
        <v>45903.0</v>
      </c>
      <c r="B8" s="22">
        <v>0.42777777777777776</v>
      </c>
      <c r="C8" s="22">
        <v>0.8777777777777778</v>
      </c>
      <c r="D8" s="23">
        <f t="shared" si="2"/>
        <v>0.45</v>
      </c>
      <c r="E8" s="23">
        <f t="shared" si="3"/>
        <v>0.02361111111</v>
      </c>
      <c r="F8" s="23">
        <f t="shared" si="4"/>
        <v>0</v>
      </c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 ht="14.25" customHeight="1">
      <c r="A9" s="18">
        <v>45904.0</v>
      </c>
      <c r="B9" s="19">
        <v>0.4326388888888889</v>
      </c>
      <c r="C9" s="19">
        <v>0.8770833333333333</v>
      </c>
      <c r="D9" s="20">
        <f t="shared" si="2"/>
        <v>0.4444444444</v>
      </c>
      <c r="E9" s="20">
        <f t="shared" si="3"/>
        <v>0.02291666667</v>
      </c>
      <c r="F9" s="20">
        <f t="shared" si="4"/>
        <v>0</v>
      </c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 ht="14.25" customHeight="1">
      <c r="A10" s="29">
        <v>45905.0</v>
      </c>
      <c r="B10" s="43"/>
      <c r="C10" s="43"/>
      <c r="D10" s="44" t="str">
        <f t="shared" si="2"/>
        <v/>
      </c>
      <c r="E10" s="32" t="str">
        <f t="shared" si="3"/>
        <v/>
      </c>
      <c r="F10" s="38" t="str">
        <f t="shared" si="4"/>
        <v/>
      </c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 ht="14.25" customHeight="1">
      <c r="A11" s="29">
        <v>45906.0</v>
      </c>
      <c r="B11" s="30">
        <v>0.4326388888888889</v>
      </c>
      <c r="C11" s="30">
        <v>0.8541666666666666</v>
      </c>
      <c r="D11" s="31">
        <f t="shared" si="2"/>
        <v>0.4215277778</v>
      </c>
      <c r="E11" s="32" t="str">
        <f t="shared" si="3"/>
        <v/>
      </c>
      <c r="F11" s="32">
        <f t="shared" si="4"/>
        <v>0</v>
      </c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ht="14.25" customHeight="1">
      <c r="A12" s="18">
        <v>45907.0</v>
      </c>
      <c r="B12" s="33">
        <v>0.4284722222222222</v>
      </c>
      <c r="C12" s="33">
        <v>0.8576388888888888</v>
      </c>
      <c r="D12" s="34">
        <f t="shared" si="2"/>
        <v>0.4291666667</v>
      </c>
      <c r="E12" s="20">
        <f t="shared" si="3"/>
        <v>0.003472222222</v>
      </c>
      <c r="F12" s="20">
        <f t="shared" si="4"/>
        <v>0</v>
      </c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 ht="14.25" customHeight="1">
      <c r="A13" s="18">
        <v>45908.0</v>
      </c>
      <c r="B13" s="33">
        <v>0.43125</v>
      </c>
      <c r="C13" s="33">
        <v>0.8861111111111111</v>
      </c>
      <c r="D13" s="34">
        <f t="shared" si="2"/>
        <v>0.4548611111</v>
      </c>
      <c r="E13" s="20">
        <f t="shared" si="3"/>
        <v>0.03194444444</v>
      </c>
      <c r="F13" s="20">
        <f t="shared" si="4"/>
        <v>0</v>
      </c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ht="14.25" customHeight="1">
      <c r="A14" s="18">
        <v>45909.0</v>
      </c>
      <c r="B14" s="33">
        <v>0.4326388888888889</v>
      </c>
      <c r="C14" s="33">
        <v>0.8541666666666666</v>
      </c>
      <c r="D14" s="34">
        <f t="shared" si="2"/>
        <v>0.4215277778</v>
      </c>
      <c r="E14" s="20" t="str">
        <f t="shared" si="3"/>
        <v/>
      </c>
      <c r="F14" s="20">
        <f t="shared" si="4"/>
        <v>0</v>
      </c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ht="14.25" customHeight="1">
      <c r="A15" s="18">
        <v>45910.0</v>
      </c>
      <c r="B15" s="33">
        <v>0.4326388888888889</v>
      </c>
      <c r="C15" s="33">
        <v>0.8548611111111111</v>
      </c>
      <c r="D15" s="34">
        <f t="shared" si="2"/>
        <v>0.4222222222</v>
      </c>
      <c r="E15" s="20">
        <f t="shared" si="3"/>
        <v>0.0006944444444</v>
      </c>
      <c r="F15" s="20">
        <f t="shared" si="4"/>
        <v>0</v>
      </c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ht="14.25" customHeight="1">
      <c r="A16" s="18">
        <v>45911.0</v>
      </c>
      <c r="B16" s="33">
        <v>0.43194444444444446</v>
      </c>
      <c r="C16" s="33">
        <v>0.8597222222222223</v>
      </c>
      <c r="D16" s="34">
        <f t="shared" si="2"/>
        <v>0.4277777778</v>
      </c>
      <c r="E16" s="20">
        <f t="shared" si="3"/>
        <v>0.005555555556</v>
      </c>
      <c r="F16" s="20">
        <f t="shared" si="4"/>
        <v>0</v>
      </c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ht="14.25" customHeight="1">
      <c r="A17" s="29">
        <v>45912.0</v>
      </c>
      <c r="B17" s="35"/>
      <c r="C17" s="35"/>
      <c r="D17" s="31" t="str">
        <f t="shared" si="2"/>
        <v/>
      </c>
      <c r="E17" s="32" t="str">
        <f t="shared" si="3"/>
        <v/>
      </c>
      <c r="F17" s="32" t="str">
        <f t="shared" si="4"/>
        <v/>
      </c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ht="14.25" customHeight="1">
      <c r="A18" s="47">
        <v>45913.0</v>
      </c>
      <c r="B18" s="48"/>
      <c r="C18" s="48"/>
      <c r="D18" s="50" t="str">
        <f t="shared" si="2"/>
        <v/>
      </c>
      <c r="E18" s="51" t="str">
        <f t="shared" si="3"/>
        <v/>
      </c>
      <c r="F18" s="51" t="str">
        <f t="shared" si="4"/>
        <v/>
      </c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ht="14.25" customHeight="1">
      <c r="A19" s="47">
        <v>45914.0</v>
      </c>
      <c r="B19" s="52"/>
      <c r="C19" s="48"/>
      <c r="D19" s="53" t="str">
        <f t="shared" si="2"/>
        <v/>
      </c>
      <c r="E19" s="49" t="str">
        <f t="shared" si="3"/>
        <v/>
      </c>
      <c r="F19" s="49" t="str">
        <f t="shared" si="4"/>
        <v/>
      </c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ht="14.25" customHeight="1">
      <c r="A20" s="18">
        <v>45915.0</v>
      </c>
      <c r="B20" s="33">
        <v>0.42569444444444443</v>
      </c>
      <c r="C20" s="33">
        <v>0.8666666666666667</v>
      </c>
      <c r="D20" s="34">
        <f t="shared" si="2"/>
        <v>0.4409722222</v>
      </c>
      <c r="E20" s="20">
        <f t="shared" si="3"/>
        <v>0.0125</v>
      </c>
      <c r="F20" s="20">
        <f t="shared" si="4"/>
        <v>0</v>
      </c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ht="14.25" customHeight="1">
      <c r="A21" s="18">
        <v>45916.0</v>
      </c>
      <c r="B21" s="33">
        <v>0.425</v>
      </c>
      <c r="C21" s="33">
        <v>0.8666666666666667</v>
      </c>
      <c r="D21" s="20">
        <f t="shared" si="2"/>
        <v>0.4416666667</v>
      </c>
      <c r="E21" s="20">
        <f t="shared" si="3"/>
        <v>0.0125</v>
      </c>
      <c r="F21" s="20">
        <f t="shared" si="4"/>
        <v>0</v>
      </c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ht="14.25" customHeight="1">
      <c r="A22" s="18">
        <v>45917.0</v>
      </c>
      <c r="B22" s="33">
        <v>0.4263888888888889</v>
      </c>
      <c r="C22" s="33">
        <v>0.8694444444444445</v>
      </c>
      <c r="D22" s="23">
        <f t="shared" si="2"/>
        <v>0.4430555556</v>
      </c>
      <c r="E22" s="23">
        <f t="shared" si="3"/>
        <v>0.01527777778</v>
      </c>
      <c r="F22" s="23">
        <f t="shared" si="4"/>
        <v>0</v>
      </c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ht="14.25" customHeight="1">
      <c r="A23" s="18">
        <v>45918.0</v>
      </c>
      <c r="B23" s="33">
        <v>0.42916666666666664</v>
      </c>
      <c r="C23" s="33">
        <v>0.8541666666666666</v>
      </c>
      <c r="D23" s="20">
        <f t="shared" si="2"/>
        <v>0.425</v>
      </c>
      <c r="E23" s="20" t="str">
        <f t="shared" si="3"/>
        <v/>
      </c>
      <c r="F23" s="20">
        <f t="shared" si="4"/>
        <v>0</v>
      </c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ht="14.25" customHeight="1">
      <c r="A24" s="29">
        <v>45919.0</v>
      </c>
      <c r="B24" s="35"/>
      <c r="C24" s="35"/>
      <c r="D24" s="38" t="str">
        <f t="shared" si="2"/>
        <v/>
      </c>
      <c r="E24" s="32" t="str">
        <f t="shared" si="3"/>
        <v/>
      </c>
      <c r="F24" s="38" t="str">
        <f t="shared" si="4"/>
        <v/>
      </c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ht="14.25" customHeight="1">
      <c r="A25" s="18">
        <v>45920.0</v>
      </c>
      <c r="B25" s="33">
        <v>0.4284722222222222</v>
      </c>
      <c r="C25" s="33">
        <v>0.8611111111111112</v>
      </c>
      <c r="D25" s="20">
        <f t="shared" si="2"/>
        <v>0.4326388889</v>
      </c>
      <c r="E25" s="20">
        <f t="shared" si="3"/>
        <v>0.006944444444</v>
      </c>
      <c r="F25" s="20">
        <f t="shared" si="4"/>
        <v>0</v>
      </c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ht="14.25" customHeight="1">
      <c r="A26" s="18">
        <v>45921.0</v>
      </c>
      <c r="B26" s="33">
        <v>0.43125</v>
      </c>
      <c r="C26" s="33">
        <v>0.8555555555555555</v>
      </c>
      <c r="D26" s="23">
        <f t="shared" si="2"/>
        <v>0.4243055556</v>
      </c>
      <c r="E26" s="23">
        <f t="shared" si="3"/>
        <v>0.001388888889</v>
      </c>
      <c r="F26" s="23">
        <f t="shared" si="4"/>
        <v>0</v>
      </c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ht="14.25" customHeight="1">
      <c r="A27" s="18">
        <v>45922.0</v>
      </c>
      <c r="B27" s="33">
        <v>0.4388888888888889</v>
      </c>
      <c r="C27" s="33">
        <v>0.8833333333333333</v>
      </c>
      <c r="D27" s="20">
        <f t="shared" si="2"/>
        <v>0.4444444444</v>
      </c>
      <c r="E27" s="20">
        <f t="shared" si="3"/>
        <v>0.02916666667</v>
      </c>
      <c r="F27" s="20">
        <f t="shared" si="4"/>
        <v>0.001388888889</v>
      </c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ht="14.25" customHeight="1">
      <c r="A28" s="18">
        <v>45923.0</v>
      </c>
      <c r="B28" s="33">
        <v>0.4263888888888889</v>
      </c>
      <c r="C28" s="33">
        <v>0.875</v>
      </c>
      <c r="D28" s="20">
        <f t="shared" si="2"/>
        <v>0.4486111111</v>
      </c>
      <c r="E28" s="20">
        <f t="shared" si="3"/>
        <v>0.02083333333</v>
      </c>
      <c r="F28" s="20">
        <f t="shared" si="4"/>
        <v>0</v>
      </c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ht="14.25" customHeight="1">
      <c r="A29" s="18">
        <v>45924.0</v>
      </c>
      <c r="B29" s="33">
        <v>0.4270833333333333</v>
      </c>
      <c r="C29" s="33">
        <v>0.8631944444444445</v>
      </c>
      <c r="D29" s="23">
        <f t="shared" si="2"/>
        <v>0.4361111111</v>
      </c>
      <c r="E29" s="23">
        <f t="shared" si="3"/>
        <v>0.009027777778</v>
      </c>
      <c r="F29" s="23">
        <f t="shared" si="4"/>
        <v>0</v>
      </c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 ht="14.25" customHeight="1">
      <c r="A30" s="18">
        <v>45925.0</v>
      </c>
      <c r="B30" s="33">
        <v>0.4340277777777778</v>
      </c>
      <c r="C30" s="33">
        <v>0.8611111111111112</v>
      </c>
      <c r="D30" s="20">
        <f t="shared" si="2"/>
        <v>0.4270833333</v>
      </c>
      <c r="E30" s="20">
        <f t="shared" si="3"/>
        <v>0.006944444444</v>
      </c>
      <c r="F30" s="20">
        <f t="shared" si="4"/>
        <v>0</v>
      </c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 ht="14.25" customHeight="1">
      <c r="A31" s="29">
        <v>45926.0</v>
      </c>
      <c r="B31" s="35"/>
      <c r="C31" s="35"/>
      <c r="D31" s="38" t="str">
        <f t="shared" si="2"/>
        <v/>
      </c>
      <c r="E31" s="38" t="str">
        <f t="shared" si="3"/>
        <v/>
      </c>
      <c r="F31" s="38" t="str">
        <f t="shared" si="4"/>
        <v/>
      </c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 ht="14.25" customHeight="1">
      <c r="A32" s="18">
        <v>45927.0</v>
      </c>
      <c r="B32" s="33">
        <v>0.4305555555555556</v>
      </c>
      <c r="C32" s="33">
        <v>0.8583333333333333</v>
      </c>
      <c r="D32" s="23">
        <f t="shared" si="2"/>
        <v>0.4277777778</v>
      </c>
      <c r="E32" s="20">
        <f t="shared" si="3"/>
        <v>0.004166666667</v>
      </c>
      <c r="F32" s="23">
        <f t="shared" si="4"/>
        <v>0</v>
      </c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 ht="14.25" customHeight="1">
      <c r="A33" s="18">
        <v>45928.0</v>
      </c>
      <c r="B33" s="33">
        <v>0.4326388888888889</v>
      </c>
      <c r="C33" s="33">
        <v>0.8847222222222222</v>
      </c>
      <c r="D33" s="23">
        <f t="shared" si="2"/>
        <v>0.4520833333</v>
      </c>
      <c r="E33" s="20">
        <f t="shared" si="3"/>
        <v>0.03055555556</v>
      </c>
      <c r="F33" s="23">
        <f t="shared" si="4"/>
        <v>0</v>
      </c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ht="14.25" customHeight="1">
      <c r="A34" s="18">
        <v>45929.0</v>
      </c>
      <c r="B34" s="33">
        <v>0.43194444444444446</v>
      </c>
      <c r="C34" s="33">
        <v>0.8763888888888889</v>
      </c>
      <c r="D34" s="20">
        <f t="shared" si="2"/>
        <v>0.4444444444</v>
      </c>
      <c r="E34" s="20">
        <f t="shared" si="3"/>
        <v>0.02222222222</v>
      </c>
      <c r="F34" s="20">
        <f t="shared" si="4"/>
        <v>0</v>
      </c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ht="14.25" customHeight="1">
      <c r="A35" s="18">
        <v>45930.0</v>
      </c>
      <c r="B35" s="33">
        <v>0.42777777777777776</v>
      </c>
      <c r="C35" s="33">
        <v>0.8729166666666667</v>
      </c>
      <c r="D35" s="23">
        <f t="shared" si="2"/>
        <v>0.4451388889</v>
      </c>
      <c r="E35" s="23">
        <f t="shared" si="3"/>
        <v>0.01875</v>
      </c>
      <c r="F35" s="23">
        <f t="shared" si="4"/>
        <v>0</v>
      </c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ht="14.25" customHeight="1">
      <c r="A36" s="18"/>
      <c r="B36" s="40"/>
      <c r="C36" s="40"/>
      <c r="D36" s="23" t="str">
        <f t="shared" si="2"/>
        <v/>
      </c>
      <c r="E36" s="20" t="str">
        <f t="shared" si="3"/>
        <v/>
      </c>
      <c r="F36" s="23" t="str">
        <f t="shared" si="4"/>
        <v/>
      </c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ht="14.25" customHeight="1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2:A3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15.86"/>
    <col customWidth="1" min="3" max="3" width="14.0"/>
    <col customWidth="1" min="4" max="4" width="13.86"/>
    <col customWidth="1" min="5" max="5" width="12.86"/>
    <col customWidth="1" min="6" max="6" width="14.14"/>
    <col customWidth="1" min="7" max="26" width="8.71"/>
  </cols>
  <sheetData>
    <row r="1" ht="14.25" customHeight="1">
      <c r="A1" s="1"/>
      <c r="B1" s="2" t="s">
        <v>0</v>
      </c>
      <c r="C1" s="3" t="s">
        <v>1</v>
      </c>
      <c r="D1" s="2">
        <v>2025.0</v>
      </c>
      <c r="E1" s="4"/>
      <c r="F1" s="4"/>
    </row>
    <row r="2" ht="14.25" customHeight="1">
      <c r="A2" s="41" t="s">
        <v>15</v>
      </c>
      <c r="B2" s="6" t="s">
        <v>3</v>
      </c>
      <c r="C2" s="6" t="s">
        <v>4</v>
      </c>
      <c r="D2" s="6" t="s">
        <v>5</v>
      </c>
      <c r="E2" s="7" t="s">
        <v>6</v>
      </c>
      <c r="F2" s="7"/>
    </row>
    <row r="3" ht="14.25" customHeight="1">
      <c r="A3" s="8"/>
      <c r="B3" s="9">
        <v>0.4375</v>
      </c>
      <c r="C3" s="9">
        <v>0.8541666666666666</v>
      </c>
      <c r="D3" s="10"/>
      <c r="E3" s="11">
        <f t="shared" ref="E3:F3" si="1">SUM(E6:E36)</f>
        <v>0.30625</v>
      </c>
      <c r="F3" s="11">
        <f t="shared" si="1"/>
        <v>0</v>
      </c>
    </row>
    <row r="4" ht="14.25" customHeight="1">
      <c r="A4" s="12" t="s">
        <v>7</v>
      </c>
      <c r="B4" s="13"/>
      <c r="C4" s="14"/>
      <c r="D4" s="14"/>
      <c r="E4" s="13"/>
      <c r="F4" s="14"/>
    </row>
    <row r="5" ht="14.25" customHeight="1">
      <c r="A5" s="16" t="s">
        <v>8</v>
      </c>
      <c r="B5" s="17" t="s">
        <v>9</v>
      </c>
      <c r="C5" s="17" t="s">
        <v>10</v>
      </c>
      <c r="D5" s="17" t="s">
        <v>11</v>
      </c>
      <c r="E5" s="17" t="s">
        <v>6</v>
      </c>
      <c r="F5" s="17" t="s">
        <v>12</v>
      </c>
    </row>
    <row r="6" ht="14.25" customHeight="1">
      <c r="A6" s="18">
        <v>45901.0</v>
      </c>
      <c r="B6" s="19">
        <v>0.42916666666666664</v>
      </c>
      <c r="C6" s="19">
        <v>0.8645833333333334</v>
      </c>
      <c r="D6" s="20">
        <f t="shared" ref="D6:D36" si="2">if(isblank(B6),"", mod((C6-B6),1))</f>
        <v>0.4354166667</v>
      </c>
      <c r="E6" s="20">
        <f t="shared" ref="E6:E36" si="3">IF(C6&gt;$C$3,C6-$C$3,"")</f>
        <v>0.01041666667</v>
      </c>
      <c r="F6" s="20">
        <f t="shared" ref="F6:F36" si="4">if(isblank(B6),"",IF($B$3&gt;B6,0,(B6-$B$3)))</f>
        <v>0</v>
      </c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ht="14.25" customHeight="1">
      <c r="A7" s="18">
        <v>45902.0</v>
      </c>
      <c r="B7" s="19">
        <v>0.42569444444444443</v>
      </c>
      <c r="C7" s="19">
        <v>0.8548611111111111</v>
      </c>
      <c r="D7" s="20">
        <f t="shared" si="2"/>
        <v>0.4291666667</v>
      </c>
      <c r="E7" s="20">
        <f t="shared" si="3"/>
        <v>0.0006944444444</v>
      </c>
      <c r="F7" s="20">
        <f t="shared" si="4"/>
        <v>0</v>
      </c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ht="14.25" customHeight="1">
      <c r="A8" s="18">
        <v>45903.0</v>
      </c>
      <c r="B8" s="22">
        <v>0.425</v>
      </c>
      <c r="C8" s="22">
        <v>0.8777777777777778</v>
      </c>
      <c r="D8" s="23">
        <f t="shared" si="2"/>
        <v>0.4527777778</v>
      </c>
      <c r="E8" s="23">
        <f t="shared" si="3"/>
        <v>0.02361111111</v>
      </c>
      <c r="F8" s="23">
        <f t="shared" si="4"/>
        <v>0</v>
      </c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 ht="14.25" customHeight="1">
      <c r="A9" s="18">
        <v>45904.0</v>
      </c>
      <c r="B9" s="19">
        <v>0.4354166666666667</v>
      </c>
      <c r="C9" s="19">
        <v>0.8680555555555556</v>
      </c>
      <c r="D9" s="20">
        <f t="shared" si="2"/>
        <v>0.4326388889</v>
      </c>
      <c r="E9" s="20">
        <f t="shared" si="3"/>
        <v>0.01388888889</v>
      </c>
      <c r="F9" s="20">
        <f t="shared" si="4"/>
        <v>0</v>
      </c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 ht="14.25" customHeight="1">
      <c r="A10" s="29">
        <v>45905.0</v>
      </c>
      <c r="B10" s="43"/>
      <c r="C10" s="43"/>
      <c r="D10" s="44" t="str">
        <f t="shared" si="2"/>
        <v/>
      </c>
      <c r="E10" s="32" t="str">
        <f t="shared" si="3"/>
        <v/>
      </c>
      <c r="F10" s="38" t="str">
        <f t="shared" si="4"/>
        <v/>
      </c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 ht="14.25" customHeight="1">
      <c r="A11" s="29">
        <v>45906.0</v>
      </c>
      <c r="B11" s="30">
        <v>0.4270833333333333</v>
      </c>
      <c r="C11" s="30">
        <v>0.8541666666666666</v>
      </c>
      <c r="D11" s="31">
        <f t="shared" si="2"/>
        <v>0.4270833333</v>
      </c>
      <c r="E11" s="32" t="str">
        <f t="shared" si="3"/>
        <v/>
      </c>
      <c r="F11" s="32">
        <f t="shared" si="4"/>
        <v>0</v>
      </c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ht="14.25" customHeight="1">
      <c r="A12" s="18">
        <v>45907.0</v>
      </c>
      <c r="B12" s="33">
        <v>0.42777777777777776</v>
      </c>
      <c r="C12" s="33">
        <v>0.8576388888888888</v>
      </c>
      <c r="D12" s="34">
        <f t="shared" si="2"/>
        <v>0.4298611111</v>
      </c>
      <c r="E12" s="20">
        <f t="shared" si="3"/>
        <v>0.003472222222</v>
      </c>
      <c r="F12" s="20">
        <f t="shared" si="4"/>
        <v>0</v>
      </c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 ht="14.25" customHeight="1">
      <c r="A13" s="18">
        <v>45908.0</v>
      </c>
      <c r="B13" s="33">
        <v>0.4173611111111111</v>
      </c>
      <c r="C13" s="33">
        <v>0.8861111111111111</v>
      </c>
      <c r="D13" s="34">
        <f t="shared" si="2"/>
        <v>0.46875</v>
      </c>
      <c r="E13" s="20">
        <f t="shared" si="3"/>
        <v>0.03194444444</v>
      </c>
      <c r="F13" s="20">
        <f t="shared" si="4"/>
        <v>0</v>
      </c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ht="14.25" customHeight="1">
      <c r="A14" s="18">
        <v>45909.0</v>
      </c>
      <c r="B14" s="33">
        <v>0.42430555555555555</v>
      </c>
      <c r="C14" s="33">
        <v>0.8541666666666666</v>
      </c>
      <c r="D14" s="34">
        <f t="shared" si="2"/>
        <v>0.4298611111</v>
      </c>
      <c r="E14" s="20" t="str">
        <f t="shared" si="3"/>
        <v/>
      </c>
      <c r="F14" s="20">
        <f t="shared" si="4"/>
        <v>0</v>
      </c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ht="14.25" customHeight="1">
      <c r="A15" s="18">
        <v>45910.0</v>
      </c>
      <c r="B15" s="33">
        <v>0.42569444444444443</v>
      </c>
      <c r="C15" s="33">
        <v>0.8555555555555555</v>
      </c>
      <c r="D15" s="34">
        <f t="shared" si="2"/>
        <v>0.4298611111</v>
      </c>
      <c r="E15" s="20">
        <f t="shared" si="3"/>
        <v>0.001388888889</v>
      </c>
      <c r="F15" s="20">
        <f t="shared" si="4"/>
        <v>0</v>
      </c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ht="14.25" customHeight="1">
      <c r="A16" s="18">
        <v>45911.0</v>
      </c>
      <c r="B16" s="33">
        <v>0.42291666666666666</v>
      </c>
      <c r="C16" s="33">
        <v>0.8597222222222223</v>
      </c>
      <c r="D16" s="34">
        <f t="shared" si="2"/>
        <v>0.4368055556</v>
      </c>
      <c r="E16" s="20">
        <f t="shared" si="3"/>
        <v>0.005555555556</v>
      </c>
      <c r="F16" s="20">
        <f t="shared" si="4"/>
        <v>0</v>
      </c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ht="14.25" customHeight="1">
      <c r="A17" s="29">
        <v>45912.0</v>
      </c>
      <c r="B17" s="35"/>
      <c r="C17" s="35"/>
      <c r="D17" s="31" t="str">
        <f t="shared" si="2"/>
        <v/>
      </c>
      <c r="E17" s="32" t="str">
        <f t="shared" si="3"/>
        <v/>
      </c>
      <c r="F17" s="32" t="str">
        <f t="shared" si="4"/>
        <v/>
      </c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ht="14.25" customHeight="1">
      <c r="A18" s="18">
        <v>45913.0</v>
      </c>
      <c r="B18" s="33">
        <v>0.4263888888888889</v>
      </c>
      <c r="C18" s="33">
        <v>0.8569444444444444</v>
      </c>
      <c r="D18" s="34">
        <f t="shared" si="2"/>
        <v>0.4305555556</v>
      </c>
      <c r="E18" s="20">
        <f t="shared" si="3"/>
        <v>0.002777777778</v>
      </c>
      <c r="F18" s="20">
        <f t="shared" si="4"/>
        <v>0</v>
      </c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ht="14.25" customHeight="1">
      <c r="A19" s="18">
        <v>45914.0</v>
      </c>
      <c r="B19" s="36">
        <v>0.42777777777777776</v>
      </c>
      <c r="C19" s="33">
        <v>0.8631944444444445</v>
      </c>
      <c r="D19" s="37">
        <f t="shared" si="2"/>
        <v>0.4354166667</v>
      </c>
      <c r="E19" s="23">
        <f t="shared" si="3"/>
        <v>0.009027777778</v>
      </c>
      <c r="F19" s="23">
        <f t="shared" si="4"/>
        <v>0</v>
      </c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ht="14.25" customHeight="1">
      <c r="A20" s="18">
        <v>45915.0</v>
      </c>
      <c r="B20" s="33">
        <v>0.4270833333333333</v>
      </c>
      <c r="C20" s="33">
        <v>0.8666666666666667</v>
      </c>
      <c r="D20" s="34">
        <f t="shared" si="2"/>
        <v>0.4395833333</v>
      </c>
      <c r="E20" s="20">
        <f t="shared" si="3"/>
        <v>0.0125</v>
      </c>
      <c r="F20" s="20">
        <f t="shared" si="4"/>
        <v>0</v>
      </c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ht="14.25" customHeight="1">
      <c r="A21" s="18">
        <v>45916.0</v>
      </c>
      <c r="B21" s="33">
        <v>0.425</v>
      </c>
      <c r="C21" s="33">
        <v>0.8666666666666667</v>
      </c>
      <c r="D21" s="20">
        <f t="shared" si="2"/>
        <v>0.4416666667</v>
      </c>
      <c r="E21" s="20">
        <f t="shared" si="3"/>
        <v>0.0125</v>
      </c>
      <c r="F21" s="20">
        <f t="shared" si="4"/>
        <v>0</v>
      </c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ht="14.25" customHeight="1">
      <c r="A22" s="18">
        <v>45917.0</v>
      </c>
      <c r="B22" s="33">
        <v>0.4173611111111111</v>
      </c>
      <c r="C22" s="33">
        <v>0.8694444444444445</v>
      </c>
      <c r="D22" s="23">
        <f t="shared" si="2"/>
        <v>0.4520833333</v>
      </c>
      <c r="E22" s="23">
        <f t="shared" si="3"/>
        <v>0.01527777778</v>
      </c>
      <c r="F22" s="23">
        <f t="shared" si="4"/>
        <v>0</v>
      </c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ht="14.25" customHeight="1">
      <c r="A23" s="18">
        <v>45918.0</v>
      </c>
      <c r="B23" s="33">
        <v>0.4236111111111111</v>
      </c>
      <c r="C23" s="33">
        <v>0.8680555555555556</v>
      </c>
      <c r="D23" s="20">
        <f t="shared" si="2"/>
        <v>0.4444444444</v>
      </c>
      <c r="E23" s="20">
        <f t="shared" si="3"/>
        <v>0.01388888889</v>
      </c>
      <c r="F23" s="20">
        <f t="shared" si="4"/>
        <v>0</v>
      </c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ht="14.25" customHeight="1">
      <c r="A24" s="29">
        <v>45919.0</v>
      </c>
      <c r="B24" s="35"/>
      <c r="C24" s="35"/>
      <c r="D24" s="38" t="str">
        <f t="shared" si="2"/>
        <v/>
      </c>
      <c r="E24" s="32" t="str">
        <f t="shared" si="3"/>
        <v/>
      </c>
      <c r="F24" s="38" t="str">
        <f t="shared" si="4"/>
        <v/>
      </c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ht="14.25" customHeight="1">
      <c r="A25" s="18">
        <v>45920.0</v>
      </c>
      <c r="B25" s="33">
        <v>0.4201388888888889</v>
      </c>
      <c r="C25" s="33">
        <v>0.8611111111111112</v>
      </c>
      <c r="D25" s="20">
        <f t="shared" si="2"/>
        <v>0.4409722222</v>
      </c>
      <c r="E25" s="20">
        <f t="shared" si="3"/>
        <v>0.006944444444</v>
      </c>
      <c r="F25" s="20">
        <f t="shared" si="4"/>
        <v>0</v>
      </c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ht="14.25" customHeight="1">
      <c r="A26" s="18">
        <v>45921.0</v>
      </c>
      <c r="B26" s="33">
        <v>0.4236111111111111</v>
      </c>
      <c r="C26" s="33">
        <v>0.8555555555555555</v>
      </c>
      <c r="D26" s="23">
        <f t="shared" si="2"/>
        <v>0.4319444444</v>
      </c>
      <c r="E26" s="23">
        <f t="shared" si="3"/>
        <v>0.001388888889</v>
      </c>
      <c r="F26" s="23">
        <f t="shared" si="4"/>
        <v>0</v>
      </c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ht="14.25" customHeight="1">
      <c r="A27" s="18">
        <v>45922.0</v>
      </c>
      <c r="B27" s="33">
        <v>0.43472222222222223</v>
      </c>
      <c r="C27" s="33">
        <v>0.8833333333333333</v>
      </c>
      <c r="D27" s="20">
        <f t="shared" si="2"/>
        <v>0.4486111111</v>
      </c>
      <c r="E27" s="20">
        <f t="shared" si="3"/>
        <v>0.02916666667</v>
      </c>
      <c r="F27" s="20">
        <f t="shared" si="4"/>
        <v>0</v>
      </c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ht="14.25" customHeight="1">
      <c r="A28" s="18">
        <v>45923.0</v>
      </c>
      <c r="B28" s="33">
        <v>0.4236111111111111</v>
      </c>
      <c r="C28" s="33">
        <v>0.875</v>
      </c>
      <c r="D28" s="20">
        <f t="shared" si="2"/>
        <v>0.4513888889</v>
      </c>
      <c r="E28" s="20">
        <f t="shared" si="3"/>
        <v>0.02083333333</v>
      </c>
      <c r="F28" s="20">
        <f t="shared" si="4"/>
        <v>0</v>
      </c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ht="14.25" customHeight="1">
      <c r="A29" s="18">
        <v>45924.0</v>
      </c>
      <c r="B29" s="33">
        <v>0.42430555555555555</v>
      </c>
      <c r="C29" s="33">
        <v>0.8625</v>
      </c>
      <c r="D29" s="23">
        <f t="shared" si="2"/>
        <v>0.4381944444</v>
      </c>
      <c r="E29" s="23">
        <f t="shared" si="3"/>
        <v>0.008333333333</v>
      </c>
      <c r="F29" s="23">
        <f t="shared" si="4"/>
        <v>0</v>
      </c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 ht="14.25" customHeight="1">
      <c r="A30" s="18">
        <v>45925.0</v>
      </c>
      <c r="B30" s="33">
        <v>0.42430555555555555</v>
      </c>
      <c r="C30" s="33">
        <v>0.8611111111111112</v>
      </c>
      <c r="D30" s="20">
        <f t="shared" si="2"/>
        <v>0.4368055556</v>
      </c>
      <c r="E30" s="20">
        <f t="shared" si="3"/>
        <v>0.006944444444</v>
      </c>
      <c r="F30" s="20">
        <f t="shared" si="4"/>
        <v>0</v>
      </c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 ht="14.25" customHeight="1">
      <c r="A31" s="29">
        <v>45926.0</v>
      </c>
      <c r="B31" s="35"/>
      <c r="C31" s="35"/>
      <c r="D31" s="38" t="str">
        <f t="shared" si="2"/>
        <v/>
      </c>
      <c r="E31" s="38" t="str">
        <f t="shared" si="3"/>
        <v/>
      </c>
      <c r="F31" s="38" t="str">
        <f t="shared" si="4"/>
        <v/>
      </c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 ht="14.25" customHeight="1">
      <c r="A32" s="18">
        <v>45927.0</v>
      </c>
      <c r="B32" s="33">
        <v>0.42569444444444443</v>
      </c>
      <c r="C32" s="33">
        <v>0.8583333333333333</v>
      </c>
      <c r="D32" s="23">
        <f t="shared" si="2"/>
        <v>0.4326388889</v>
      </c>
      <c r="E32" s="20">
        <f t="shared" si="3"/>
        <v>0.004166666667</v>
      </c>
      <c r="F32" s="23">
        <f t="shared" si="4"/>
        <v>0</v>
      </c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 ht="14.25" customHeight="1">
      <c r="A33" s="18">
        <v>45928.0</v>
      </c>
      <c r="B33" s="33">
        <v>0.43333333333333335</v>
      </c>
      <c r="C33" s="33">
        <v>0.8847222222222222</v>
      </c>
      <c r="D33" s="23">
        <f t="shared" si="2"/>
        <v>0.4513888889</v>
      </c>
      <c r="E33" s="20">
        <f t="shared" si="3"/>
        <v>0.03055555556</v>
      </c>
      <c r="F33" s="23">
        <f t="shared" si="4"/>
        <v>0</v>
      </c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ht="14.25" customHeight="1">
      <c r="A34" s="18">
        <v>45929.0</v>
      </c>
      <c r="B34" s="33">
        <v>0.41805555555555557</v>
      </c>
      <c r="C34" s="33">
        <v>0.8763888888888889</v>
      </c>
      <c r="D34" s="20">
        <f t="shared" si="2"/>
        <v>0.4583333333</v>
      </c>
      <c r="E34" s="20">
        <f t="shared" si="3"/>
        <v>0.02222222222</v>
      </c>
      <c r="F34" s="20">
        <f t="shared" si="4"/>
        <v>0</v>
      </c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ht="14.25" customHeight="1">
      <c r="A35" s="18">
        <v>45930.0</v>
      </c>
      <c r="B35" s="33">
        <v>0.42291666666666666</v>
      </c>
      <c r="C35" s="33">
        <v>0.8729166666666667</v>
      </c>
      <c r="D35" s="23">
        <f t="shared" si="2"/>
        <v>0.45</v>
      </c>
      <c r="E35" s="23">
        <f t="shared" si="3"/>
        <v>0.01875</v>
      </c>
      <c r="F35" s="23">
        <f t="shared" si="4"/>
        <v>0</v>
      </c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ht="14.25" customHeight="1">
      <c r="A36" s="18"/>
      <c r="B36" s="40"/>
      <c r="C36" s="40"/>
      <c r="D36" s="23" t="str">
        <f t="shared" si="2"/>
        <v/>
      </c>
      <c r="E36" s="20" t="str">
        <f t="shared" si="3"/>
        <v/>
      </c>
      <c r="F36" s="23" t="str">
        <f t="shared" si="4"/>
        <v/>
      </c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ht="14.25" customHeight="1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2:A3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15.86"/>
    <col customWidth="1" min="3" max="3" width="14.0"/>
    <col customWidth="1" min="4" max="4" width="13.86"/>
    <col customWidth="1" min="5" max="5" width="12.86"/>
    <col customWidth="1" min="6" max="6" width="14.14"/>
    <col customWidth="1" min="7" max="26" width="8.71"/>
  </cols>
  <sheetData>
    <row r="1" ht="14.25" customHeight="1">
      <c r="A1" s="1"/>
      <c r="B1" s="2" t="s">
        <v>0</v>
      </c>
      <c r="C1" s="3" t="s">
        <v>1</v>
      </c>
      <c r="D1" s="2">
        <v>2025.0</v>
      </c>
      <c r="E1" s="4"/>
      <c r="F1" s="4"/>
    </row>
    <row r="2" ht="14.25" customHeight="1">
      <c r="A2" s="41" t="s">
        <v>16</v>
      </c>
      <c r="B2" s="6" t="s">
        <v>3</v>
      </c>
      <c r="C2" s="6" t="s">
        <v>4</v>
      </c>
      <c r="D2" s="6" t="s">
        <v>5</v>
      </c>
      <c r="E2" s="7" t="s">
        <v>6</v>
      </c>
      <c r="F2" s="7"/>
    </row>
    <row r="3" ht="14.25" customHeight="1">
      <c r="A3" s="8"/>
      <c r="B3" s="9">
        <v>0.4375</v>
      </c>
      <c r="C3" s="9">
        <v>0.8541666666666666</v>
      </c>
      <c r="D3" s="10"/>
      <c r="E3" s="11">
        <f t="shared" ref="E3:F3" si="1">SUM(E6:E36)</f>
        <v>0.2354166667</v>
      </c>
      <c r="F3" s="11">
        <f t="shared" si="1"/>
        <v>0.01805555556</v>
      </c>
    </row>
    <row r="4" ht="14.25" customHeight="1">
      <c r="A4" s="12" t="s">
        <v>7</v>
      </c>
      <c r="B4" s="13"/>
      <c r="C4" s="14"/>
      <c r="D4" s="14"/>
      <c r="E4" s="13"/>
      <c r="F4" s="14"/>
    </row>
    <row r="5" ht="14.25" customHeight="1">
      <c r="A5" s="16" t="s">
        <v>8</v>
      </c>
      <c r="B5" s="17" t="s">
        <v>9</v>
      </c>
      <c r="C5" s="17" t="s">
        <v>10</v>
      </c>
      <c r="D5" s="17" t="s">
        <v>11</v>
      </c>
      <c r="E5" s="17" t="s">
        <v>6</v>
      </c>
      <c r="F5" s="17" t="s">
        <v>12</v>
      </c>
    </row>
    <row r="6" ht="14.25" customHeight="1">
      <c r="A6" s="18">
        <v>45901.0</v>
      </c>
      <c r="B6" s="19">
        <v>0.4354166666666667</v>
      </c>
      <c r="C6" s="19">
        <v>0.8590277777777777</v>
      </c>
      <c r="D6" s="20">
        <f t="shared" ref="D6:D36" si="2">if(isblank(B6),"", mod((C6-B6),1))</f>
        <v>0.4236111111</v>
      </c>
      <c r="E6" s="20">
        <f t="shared" ref="E6:E36" si="3">IF(C6&gt;$C$3,C6-$C$3,"")</f>
        <v>0.004861111111</v>
      </c>
      <c r="F6" s="20">
        <f t="shared" ref="F6:F36" si="4">if(isblank(B6),"",IF($B$3&gt;B6,0,(B6-$B$3)))</f>
        <v>0</v>
      </c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ht="14.25" customHeight="1">
      <c r="A7" s="18">
        <v>45902.0</v>
      </c>
      <c r="B7" s="19">
        <v>0.43472222222222223</v>
      </c>
      <c r="C7" s="19">
        <v>0.8541666666666666</v>
      </c>
      <c r="D7" s="20">
        <f t="shared" si="2"/>
        <v>0.4194444444</v>
      </c>
      <c r="E7" s="20" t="str">
        <f t="shared" si="3"/>
        <v/>
      </c>
      <c r="F7" s="20">
        <f t="shared" si="4"/>
        <v>0</v>
      </c>
      <c r="G7" s="21"/>
      <c r="H7" s="42">
        <f>E3-F3</f>
        <v>0.2173611111</v>
      </c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ht="14.25" customHeight="1">
      <c r="A8" s="18">
        <v>45903.0</v>
      </c>
      <c r="B8" s="22">
        <v>0.4354166666666667</v>
      </c>
      <c r="C8" s="22">
        <v>0.8652777777777778</v>
      </c>
      <c r="D8" s="23">
        <f t="shared" si="2"/>
        <v>0.4298611111</v>
      </c>
      <c r="E8" s="23">
        <f t="shared" si="3"/>
        <v>0.01111111111</v>
      </c>
      <c r="F8" s="23">
        <f t="shared" si="4"/>
        <v>0</v>
      </c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 ht="14.25" customHeight="1">
      <c r="A9" s="18">
        <v>45904.0</v>
      </c>
      <c r="B9" s="19">
        <v>0.4354166666666667</v>
      </c>
      <c r="C9" s="19">
        <v>0.8784722222222222</v>
      </c>
      <c r="D9" s="20">
        <f t="shared" si="2"/>
        <v>0.4430555556</v>
      </c>
      <c r="E9" s="20">
        <f t="shared" si="3"/>
        <v>0.02430555556</v>
      </c>
      <c r="F9" s="20">
        <f t="shared" si="4"/>
        <v>0</v>
      </c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 ht="14.25" customHeight="1">
      <c r="A10" s="29">
        <v>45905.0</v>
      </c>
      <c r="B10" s="43"/>
      <c r="C10" s="43"/>
      <c r="D10" s="44" t="str">
        <f t="shared" si="2"/>
        <v/>
      </c>
      <c r="E10" s="32" t="str">
        <f t="shared" si="3"/>
        <v/>
      </c>
      <c r="F10" s="38" t="str">
        <f t="shared" si="4"/>
        <v/>
      </c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 ht="14.25" customHeight="1">
      <c r="A11" s="29">
        <v>45906.0</v>
      </c>
      <c r="B11" s="30">
        <v>0.43472222222222223</v>
      </c>
      <c r="C11" s="30">
        <v>0.86875</v>
      </c>
      <c r="D11" s="31">
        <f t="shared" si="2"/>
        <v>0.4340277778</v>
      </c>
      <c r="E11" s="32">
        <f t="shared" si="3"/>
        <v>0.01458333333</v>
      </c>
      <c r="F11" s="32">
        <f t="shared" si="4"/>
        <v>0</v>
      </c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ht="14.25" customHeight="1">
      <c r="A12" s="18">
        <v>45907.0</v>
      </c>
      <c r="B12" s="33">
        <v>0.43680555555555556</v>
      </c>
      <c r="C12" s="33">
        <v>0.8618055555555556</v>
      </c>
      <c r="D12" s="34">
        <f t="shared" si="2"/>
        <v>0.425</v>
      </c>
      <c r="E12" s="20">
        <f t="shared" si="3"/>
        <v>0.007638888889</v>
      </c>
      <c r="F12" s="20">
        <f t="shared" si="4"/>
        <v>0</v>
      </c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 ht="14.25" customHeight="1">
      <c r="A13" s="18">
        <v>45908.0</v>
      </c>
      <c r="B13" s="33">
        <v>0.4354166666666667</v>
      </c>
      <c r="C13" s="33">
        <v>0.8604166666666667</v>
      </c>
      <c r="D13" s="34">
        <f t="shared" si="2"/>
        <v>0.425</v>
      </c>
      <c r="E13" s="20">
        <f t="shared" si="3"/>
        <v>0.00625</v>
      </c>
      <c r="F13" s="20">
        <f t="shared" si="4"/>
        <v>0</v>
      </c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ht="14.25" customHeight="1">
      <c r="A14" s="18">
        <v>45909.0</v>
      </c>
      <c r="B14" s="33">
        <v>0.4340277777777778</v>
      </c>
      <c r="C14" s="33">
        <v>0.8597222222222223</v>
      </c>
      <c r="D14" s="34">
        <f t="shared" si="2"/>
        <v>0.4256944444</v>
      </c>
      <c r="E14" s="20">
        <f t="shared" si="3"/>
        <v>0.005555555556</v>
      </c>
      <c r="F14" s="20">
        <f t="shared" si="4"/>
        <v>0</v>
      </c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ht="14.25" customHeight="1">
      <c r="A15" s="18">
        <v>45910.0</v>
      </c>
      <c r="B15" s="33">
        <v>0.4354166666666667</v>
      </c>
      <c r="C15" s="33">
        <v>0.8680555555555556</v>
      </c>
      <c r="D15" s="34">
        <f t="shared" si="2"/>
        <v>0.4326388889</v>
      </c>
      <c r="E15" s="20">
        <f t="shared" si="3"/>
        <v>0.01388888889</v>
      </c>
      <c r="F15" s="20">
        <f t="shared" si="4"/>
        <v>0</v>
      </c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ht="14.25" customHeight="1">
      <c r="A16" s="18">
        <v>45911.0</v>
      </c>
      <c r="B16" s="33">
        <v>0.4361111111111111</v>
      </c>
      <c r="C16" s="33">
        <v>0.8638888888888889</v>
      </c>
      <c r="D16" s="34">
        <f t="shared" si="2"/>
        <v>0.4277777778</v>
      </c>
      <c r="E16" s="20">
        <f t="shared" si="3"/>
        <v>0.009722222222</v>
      </c>
      <c r="F16" s="20">
        <f t="shared" si="4"/>
        <v>0</v>
      </c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ht="14.25" customHeight="1">
      <c r="A17" s="29">
        <v>45912.0</v>
      </c>
      <c r="B17" s="35"/>
      <c r="C17" s="35"/>
      <c r="D17" s="31" t="str">
        <f t="shared" si="2"/>
        <v/>
      </c>
      <c r="E17" s="32" t="str">
        <f t="shared" si="3"/>
        <v/>
      </c>
      <c r="F17" s="32" t="str">
        <f t="shared" si="4"/>
        <v/>
      </c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ht="14.25" customHeight="1">
      <c r="A18" s="18">
        <v>45913.0</v>
      </c>
      <c r="B18" s="33">
        <v>0.4354166666666667</v>
      </c>
      <c r="C18" s="33">
        <v>0.8590277777777777</v>
      </c>
      <c r="D18" s="34">
        <f t="shared" si="2"/>
        <v>0.4236111111</v>
      </c>
      <c r="E18" s="20">
        <f t="shared" si="3"/>
        <v>0.004861111111</v>
      </c>
      <c r="F18" s="20">
        <f t="shared" si="4"/>
        <v>0</v>
      </c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ht="14.25" customHeight="1">
      <c r="A19" s="18">
        <v>45914.0</v>
      </c>
      <c r="B19" s="36">
        <v>0.43680555555555556</v>
      </c>
      <c r="C19" s="33">
        <v>0.8638888888888889</v>
      </c>
      <c r="D19" s="37">
        <f t="shared" si="2"/>
        <v>0.4270833333</v>
      </c>
      <c r="E19" s="23">
        <f t="shared" si="3"/>
        <v>0.009722222222</v>
      </c>
      <c r="F19" s="23">
        <f t="shared" si="4"/>
        <v>0</v>
      </c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ht="14.25" customHeight="1">
      <c r="A20" s="18">
        <v>45915.0</v>
      </c>
      <c r="B20" s="33">
        <v>0.4354166666666667</v>
      </c>
      <c r="C20" s="33">
        <v>0.8736111111111111</v>
      </c>
      <c r="D20" s="34">
        <f t="shared" si="2"/>
        <v>0.4381944444</v>
      </c>
      <c r="E20" s="20">
        <f t="shared" si="3"/>
        <v>0.01944444444</v>
      </c>
      <c r="F20" s="20">
        <f t="shared" si="4"/>
        <v>0</v>
      </c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ht="14.25" customHeight="1">
      <c r="A21" s="18">
        <v>45916.0</v>
      </c>
      <c r="B21" s="33">
        <v>0.43680555555555556</v>
      </c>
      <c r="C21" s="33">
        <v>0.8645833333333334</v>
      </c>
      <c r="D21" s="20">
        <f t="shared" si="2"/>
        <v>0.4277777778</v>
      </c>
      <c r="E21" s="20">
        <f t="shared" si="3"/>
        <v>0.01041666667</v>
      </c>
      <c r="F21" s="20">
        <f t="shared" si="4"/>
        <v>0</v>
      </c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ht="14.25" customHeight="1">
      <c r="A22" s="18">
        <v>45917.0</v>
      </c>
      <c r="B22" s="33">
        <v>0.4340277777777778</v>
      </c>
      <c r="C22" s="33">
        <v>0.8645833333333334</v>
      </c>
      <c r="D22" s="23">
        <f t="shared" si="2"/>
        <v>0.4305555556</v>
      </c>
      <c r="E22" s="23">
        <f t="shared" si="3"/>
        <v>0.01041666667</v>
      </c>
      <c r="F22" s="23">
        <f t="shared" si="4"/>
        <v>0</v>
      </c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ht="14.25" customHeight="1">
      <c r="A23" s="18">
        <v>45918.0</v>
      </c>
      <c r="B23" s="33">
        <v>0.43472222222222223</v>
      </c>
      <c r="C23" s="33">
        <v>0.8680555555555556</v>
      </c>
      <c r="D23" s="20">
        <f t="shared" si="2"/>
        <v>0.4333333333</v>
      </c>
      <c r="E23" s="20">
        <f t="shared" si="3"/>
        <v>0.01388888889</v>
      </c>
      <c r="F23" s="20">
        <f t="shared" si="4"/>
        <v>0</v>
      </c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ht="14.25" customHeight="1">
      <c r="A24" s="29">
        <v>45919.0</v>
      </c>
      <c r="B24" s="35"/>
      <c r="C24" s="35"/>
      <c r="D24" s="38" t="str">
        <f t="shared" si="2"/>
        <v/>
      </c>
      <c r="E24" s="32" t="str">
        <f t="shared" si="3"/>
        <v/>
      </c>
      <c r="F24" s="38" t="str">
        <f t="shared" si="4"/>
        <v/>
      </c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ht="14.25" customHeight="1">
      <c r="A25" s="18">
        <v>45920.0</v>
      </c>
      <c r="B25" s="33">
        <v>0.4326388888888889</v>
      </c>
      <c r="C25" s="33">
        <v>0.8611111111111112</v>
      </c>
      <c r="D25" s="20">
        <f t="shared" si="2"/>
        <v>0.4284722222</v>
      </c>
      <c r="E25" s="20">
        <f t="shared" si="3"/>
        <v>0.006944444444</v>
      </c>
      <c r="F25" s="20">
        <f t="shared" si="4"/>
        <v>0</v>
      </c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ht="14.25" customHeight="1">
      <c r="A26" s="18">
        <v>45921.0</v>
      </c>
      <c r="B26" s="33">
        <v>0.4340277777777778</v>
      </c>
      <c r="C26" s="33">
        <v>0.8548611111111111</v>
      </c>
      <c r="D26" s="23">
        <f t="shared" si="2"/>
        <v>0.4208333333</v>
      </c>
      <c r="E26" s="23">
        <f t="shared" si="3"/>
        <v>0.0006944444444</v>
      </c>
      <c r="F26" s="23">
        <f t="shared" si="4"/>
        <v>0</v>
      </c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ht="14.25" customHeight="1">
      <c r="A27" s="18">
        <v>45922.0</v>
      </c>
      <c r="B27" s="33">
        <v>0.45555555555555555</v>
      </c>
      <c r="C27" s="33">
        <v>0.8652777777777778</v>
      </c>
      <c r="D27" s="20">
        <f t="shared" si="2"/>
        <v>0.4097222222</v>
      </c>
      <c r="E27" s="20">
        <f t="shared" si="3"/>
        <v>0.01111111111</v>
      </c>
      <c r="F27" s="20">
        <f t="shared" si="4"/>
        <v>0.01805555556</v>
      </c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ht="14.25" customHeight="1">
      <c r="A28" s="18">
        <v>45923.0</v>
      </c>
      <c r="B28" s="33">
        <v>0.43472222222222223</v>
      </c>
      <c r="C28" s="33">
        <v>0.8583333333333333</v>
      </c>
      <c r="D28" s="20">
        <f t="shared" si="2"/>
        <v>0.4236111111</v>
      </c>
      <c r="E28" s="20">
        <f t="shared" si="3"/>
        <v>0.004166666667</v>
      </c>
      <c r="F28" s="20">
        <f t="shared" si="4"/>
        <v>0</v>
      </c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ht="14.25" customHeight="1">
      <c r="A29" s="18">
        <v>45924.0</v>
      </c>
      <c r="B29" s="33">
        <v>0.43472222222222223</v>
      </c>
      <c r="C29" s="33">
        <v>0.8625</v>
      </c>
      <c r="D29" s="23">
        <f t="shared" si="2"/>
        <v>0.4277777778</v>
      </c>
      <c r="E29" s="23">
        <f t="shared" si="3"/>
        <v>0.008333333333</v>
      </c>
      <c r="F29" s="23">
        <f t="shared" si="4"/>
        <v>0</v>
      </c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 ht="14.25" customHeight="1">
      <c r="A30" s="18">
        <v>45925.0</v>
      </c>
      <c r="B30" s="33">
        <v>0.43333333333333335</v>
      </c>
      <c r="C30" s="33">
        <v>0.8604166666666667</v>
      </c>
      <c r="D30" s="20">
        <f t="shared" si="2"/>
        <v>0.4270833333</v>
      </c>
      <c r="E30" s="20">
        <f t="shared" si="3"/>
        <v>0.00625</v>
      </c>
      <c r="F30" s="20">
        <f t="shared" si="4"/>
        <v>0</v>
      </c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 ht="14.25" customHeight="1">
      <c r="A31" s="29">
        <v>45926.0</v>
      </c>
      <c r="B31" s="35"/>
      <c r="C31" s="35"/>
      <c r="D31" s="38" t="str">
        <f t="shared" si="2"/>
        <v/>
      </c>
      <c r="E31" s="38" t="str">
        <f t="shared" si="3"/>
        <v/>
      </c>
      <c r="F31" s="38" t="str">
        <f t="shared" si="4"/>
        <v/>
      </c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 ht="14.25" customHeight="1">
      <c r="A32" s="18">
        <v>45927.0</v>
      </c>
      <c r="B32" s="33">
        <v>0.43472222222222223</v>
      </c>
      <c r="C32" s="33">
        <v>0.8583333333333333</v>
      </c>
      <c r="D32" s="23">
        <f t="shared" si="2"/>
        <v>0.4236111111</v>
      </c>
      <c r="E32" s="20">
        <f t="shared" si="3"/>
        <v>0.004166666667</v>
      </c>
      <c r="F32" s="23">
        <f t="shared" si="4"/>
        <v>0</v>
      </c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 ht="14.25" customHeight="1">
      <c r="A33" s="18">
        <v>45928.0</v>
      </c>
      <c r="B33" s="33">
        <v>0.43680555555555556</v>
      </c>
      <c r="C33" s="33">
        <v>0.8583333333333333</v>
      </c>
      <c r="D33" s="23">
        <f t="shared" si="2"/>
        <v>0.4215277778</v>
      </c>
      <c r="E33" s="20">
        <f t="shared" si="3"/>
        <v>0.004166666667</v>
      </c>
      <c r="F33" s="23">
        <f t="shared" si="4"/>
        <v>0</v>
      </c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ht="14.25" customHeight="1">
      <c r="A34" s="18">
        <v>45929.0</v>
      </c>
      <c r="B34" s="33">
        <v>0.4361111111111111</v>
      </c>
      <c r="C34" s="33">
        <v>0.8756944444444444</v>
      </c>
      <c r="D34" s="20">
        <f t="shared" si="2"/>
        <v>0.4395833333</v>
      </c>
      <c r="E34" s="20">
        <f t="shared" si="3"/>
        <v>0.02152777778</v>
      </c>
      <c r="F34" s="20">
        <f t="shared" si="4"/>
        <v>0</v>
      </c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ht="14.25" customHeight="1">
      <c r="A35" s="18">
        <v>45930.0</v>
      </c>
      <c r="B35" s="33">
        <v>0.4354166666666667</v>
      </c>
      <c r="C35" s="33">
        <v>0.8555555555555555</v>
      </c>
      <c r="D35" s="23">
        <f t="shared" si="2"/>
        <v>0.4201388889</v>
      </c>
      <c r="E35" s="23">
        <f t="shared" si="3"/>
        <v>0.001388888889</v>
      </c>
      <c r="F35" s="23">
        <f t="shared" si="4"/>
        <v>0</v>
      </c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ht="14.25" customHeight="1">
      <c r="A36" s="18"/>
      <c r="B36" s="40"/>
      <c r="C36" s="40"/>
      <c r="D36" s="23" t="str">
        <f t="shared" si="2"/>
        <v/>
      </c>
      <c r="E36" s="20" t="str">
        <f t="shared" si="3"/>
        <v/>
      </c>
      <c r="F36" s="23" t="str">
        <f t="shared" si="4"/>
        <v/>
      </c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ht="14.25" customHeight="1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2:A3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15.86"/>
    <col customWidth="1" min="3" max="3" width="14.0"/>
    <col customWidth="1" min="4" max="4" width="13.86"/>
    <col customWidth="1" min="5" max="5" width="12.86"/>
    <col customWidth="1" min="6" max="6" width="14.14"/>
    <col customWidth="1" min="7" max="26" width="8.71"/>
  </cols>
  <sheetData>
    <row r="1" ht="14.25" customHeight="1">
      <c r="A1" s="1"/>
      <c r="B1" s="2" t="s">
        <v>0</v>
      </c>
      <c r="C1" s="3" t="s">
        <v>1</v>
      </c>
      <c r="D1" s="2">
        <v>2025.0</v>
      </c>
      <c r="E1" s="4"/>
      <c r="F1" s="4"/>
    </row>
    <row r="2" ht="14.25" customHeight="1">
      <c r="A2" s="41" t="s">
        <v>17</v>
      </c>
      <c r="B2" s="6" t="s">
        <v>3</v>
      </c>
      <c r="C2" s="6" t="s">
        <v>4</v>
      </c>
      <c r="D2" s="6" t="s">
        <v>5</v>
      </c>
      <c r="E2" s="7" t="s">
        <v>6</v>
      </c>
      <c r="F2" s="7"/>
    </row>
    <row r="3" ht="14.25" customHeight="1">
      <c r="A3" s="8"/>
      <c r="B3" s="9">
        <v>0.4375</v>
      </c>
      <c r="C3" s="9">
        <v>0.8541666666666666</v>
      </c>
      <c r="D3" s="10"/>
      <c r="E3" s="11">
        <f t="shared" ref="E3:F3" si="1">SUM(E6:E36)</f>
        <v>0.1958333333</v>
      </c>
      <c r="F3" s="11">
        <f t="shared" si="1"/>
        <v>0.002777777778</v>
      </c>
    </row>
    <row r="4" ht="14.25" customHeight="1">
      <c r="A4" s="12" t="s">
        <v>7</v>
      </c>
      <c r="B4" s="13"/>
      <c r="C4" s="14"/>
      <c r="D4" s="14"/>
      <c r="E4" s="13"/>
      <c r="F4" s="14"/>
    </row>
    <row r="5" ht="14.25" customHeight="1">
      <c r="A5" s="16" t="s">
        <v>8</v>
      </c>
      <c r="B5" s="17" t="s">
        <v>9</v>
      </c>
      <c r="C5" s="17" t="s">
        <v>10</v>
      </c>
      <c r="D5" s="17" t="s">
        <v>11</v>
      </c>
      <c r="E5" s="17" t="s">
        <v>6</v>
      </c>
      <c r="F5" s="17" t="s">
        <v>12</v>
      </c>
    </row>
    <row r="6" ht="14.25" customHeight="1">
      <c r="A6" s="18">
        <v>45901.0</v>
      </c>
      <c r="B6" s="19">
        <v>0.4354166666666667</v>
      </c>
      <c r="C6" s="19">
        <v>0.8548611111111111</v>
      </c>
      <c r="D6" s="20">
        <f t="shared" ref="D6:D36" si="2">if(isblank(B6),"", mod((C6-B6),1))</f>
        <v>0.4194444444</v>
      </c>
      <c r="E6" s="20">
        <f t="shared" ref="E6:E36" si="3">IF(C6&gt;$C$3,C6-$C$3,"")</f>
        <v>0.0006944444444</v>
      </c>
      <c r="F6" s="20">
        <f t="shared" ref="F6:F36" si="4">if(isblank(B6),"",IF($B$3&gt;B6,0,(B6-$B$3)))</f>
        <v>0</v>
      </c>
      <c r="G6" s="21"/>
      <c r="H6" s="42">
        <f>E3-F3</f>
        <v>0.1930555556</v>
      </c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ht="14.25" customHeight="1">
      <c r="A7" s="18">
        <v>45902.0</v>
      </c>
      <c r="B7" s="19">
        <v>0.4340277777777778</v>
      </c>
      <c r="C7" s="19">
        <v>0.8548611111111111</v>
      </c>
      <c r="D7" s="20">
        <f t="shared" si="2"/>
        <v>0.4208333333</v>
      </c>
      <c r="E7" s="20">
        <f t="shared" si="3"/>
        <v>0.0006944444444</v>
      </c>
      <c r="F7" s="20">
        <f t="shared" si="4"/>
        <v>0</v>
      </c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ht="14.25" customHeight="1">
      <c r="A8" s="18">
        <v>45903.0</v>
      </c>
      <c r="B8" s="22">
        <v>0.4326388888888889</v>
      </c>
      <c r="C8" s="22">
        <v>0.8701388888888889</v>
      </c>
      <c r="D8" s="23">
        <f t="shared" si="2"/>
        <v>0.4375</v>
      </c>
      <c r="E8" s="23">
        <f t="shared" si="3"/>
        <v>0.01597222222</v>
      </c>
      <c r="F8" s="23">
        <f t="shared" si="4"/>
        <v>0</v>
      </c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 ht="14.25" customHeight="1">
      <c r="A9" s="18">
        <v>45904.0</v>
      </c>
      <c r="B9" s="19">
        <v>0.4326388888888889</v>
      </c>
      <c r="C9" s="19">
        <v>0.86875</v>
      </c>
      <c r="D9" s="20">
        <f t="shared" si="2"/>
        <v>0.4361111111</v>
      </c>
      <c r="E9" s="20">
        <f t="shared" si="3"/>
        <v>0.01458333333</v>
      </c>
      <c r="F9" s="20">
        <f t="shared" si="4"/>
        <v>0</v>
      </c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 ht="14.25" customHeight="1">
      <c r="A10" s="29">
        <v>45905.0</v>
      </c>
      <c r="B10" s="43"/>
      <c r="C10" s="43"/>
      <c r="D10" s="44" t="str">
        <f t="shared" si="2"/>
        <v/>
      </c>
      <c r="E10" s="32" t="str">
        <f t="shared" si="3"/>
        <v/>
      </c>
      <c r="F10" s="38" t="str">
        <f t="shared" si="4"/>
        <v/>
      </c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 ht="14.25" customHeight="1">
      <c r="A11" s="29">
        <v>45906.0</v>
      </c>
      <c r="B11" s="30">
        <v>0.4361111111111111</v>
      </c>
      <c r="C11" s="30">
        <v>0.8548611111111111</v>
      </c>
      <c r="D11" s="31">
        <f t="shared" si="2"/>
        <v>0.41875</v>
      </c>
      <c r="E11" s="32">
        <f t="shared" si="3"/>
        <v>0.0006944444444</v>
      </c>
      <c r="F11" s="32">
        <f t="shared" si="4"/>
        <v>0</v>
      </c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ht="14.25" customHeight="1">
      <c r="A12" s="18">
        <v>45907.0</v>
      </c>
      <c r="B12" s="33">
        <v>0.43472222222222223</v>
      </c>
      <c r="C12" s="33">
        <v>0.8673611111111111</v>
      </c>
      <c r="D12" s="34">
        <f t="shared" si="2"/>
        <v>0.4326388889</v>
      </c>
      <c r="E12" s="20">
        <f t="shared" si="3"/>
        <v>0.01319444444</v>
      </c>
      <c r="F12" s="20">
        <f t="shared" si="4"/>
        <v>0</v>
      </c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 ht="14.25" customHeight="1">
      <c r="A13" s="18">
        <v>45908.0</v>
      </c>
      <c r="B13" s="33">
        <v>0.4375</v>
      </c>
      <c r="C13" s="33">
        <v>0.8861111111111111</v>
      </c>
      <c r="D13" s="34">
        <f t="shared" si="2"/>
        <v>0.4486111111</v>
      </c>
      <c r="E13" s="20">
        <f t="shared" si="3"/>
        <v>0.03194444444</v>
      </c>
      <c r="F13" s="20">
        <f t="shared" si="4"/>
        <v>0</v>
      </c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ht="14.25" customHeight="1">
      <c r="A14" s="18">
        <v>45909.0</v>
      </c>
      <c r="B14" s="33">
        <v>0.4340277777777778</v>
      </c>
      <c r="C14" s="33">
        <v>0.8541666666666666</v>
      </c>
      <c r="D14" s="34">
        <f t="shared" si="2"/>
        <v>0.4201388889</v>
      </c>
      <c r="E14" s="20" t="str">
        <f t="shared" si="3"/>
        <v/>
      </c>
      <c r="F14" s="20">
        <f t="shared" si="4"/>
        <v>0</v>
      </c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ht="14.25" customHeight="1">
      <c r="A15" s="18">
        <v>45910.0</v>
      </c>
      <c r="B15" s="33">
        <v>0.43680555555555556</v>
      </c>
      <c r="C15" s="33">
        <v>0.8555555555555555</v>
      </c>
      <c r="D15" s="34">
        <f t="shared" si="2"/>
        <v>0.41875</v>
      </c>
      <c r="E15" s="20">
        <f t="shared" si="3"/>
        <v>0.001388888889</v>
      </c>
      <c r="F15" s="20">
        <f t="shared" si="4"/>
        <v>0</v>
      </c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ht="14.25" customHeight="1">
      <c r="A16" s="18">
        <v>45911.0</v>
      </c>
      <c r="B16" s="33">
        <v>0.4361111111111111</v>
      </c>
      <c r="C16" s="33">
        <v>0.8597222222222223</v>
      </c>
      <c r="D16" s="34">
        <f t="shared" si="2"/>
        <v>0.4236111111</v>
      </c>
      <c r="E16" s="20">
        <f t="shared" si="3"/>
        <v>0.005555555556</v>
      </c>
      <c r="F16" s="20">
        <f t="shared" si="4"/>
        <v>0</v>
      </c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ht="14.25" customHeight="1">
      <c r="A17" s="29">
        <v>45912.0</v>
      </c>
      <c r="B17" s="35"/>
      <c r="C17" s="35"/>
      <c r="D17" s="31" t="str">
        <f t="shared" si="2"/>
        <v/>
      </c>
      <c r="E17" s="32" t="str">
        <f t="shared" si="3"/>
        <v/>
      </c>
      <c r="F17" s="32" t="str">
        <f t="shared" si="4"/>
        <v/>
      </c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ht="14.25" customHeight="1">
      <c r="A18" s="18">
        <v>45913.0</v>
      </c>
      <c r="B18" s="33">
        <v>0.43472222222222223</v>
      </c>
      <c r="C18" s="33">
        <v>0.85625</v>
      </c>
      <c r="D18" s="34">
        <f t="shared" si="2"/>
        <v>0.4215277778</v>
      </c>
      <c r="E18" s="20">
        <f t="shared" si="3"/>
        <v>0.002083333333</v>
      </c>
      <c r="F18" s="20">
        <f t="shared" si="4"/>
        <v>0</v>
      </c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ht="14.25" customHeight="1">
      <c r="A19" s="18">
        <v>45914.0</v>
      </c>
      <c r="B19" s="36">
        <v>0.43680555555555556</v>
      </c>
      <c r="C19" s="33">
        <v>0.8548611111111111</v>
      </c>
      <c r="D19" s="37">
        <f t="shared" si="2"/>
        <v>0.4180555556</v>
      </c>
      <c r="E19" s="23">
        <f t="shared" si="3"/>
        <v>0.0006944444444</v>
      </c>
      <c r="F19" s="23">
        <f t="shared" si="4"/>
        <v>0</v>
      </c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ht="14.25" customHeight="1">
      <c r="A20" s="18">
        <v>45915.0</v>
      </c>
      <c r="B20" s="33">
        <v>0.4361111111111111</v>
      </c>
      <c r="C20" s="33">
        <v>0.8659722222222223</v>
      </c>
      <c r="D20" s="34">
        <f t="shared" si="2"/>
        <v>0.4298611111</v>
      </c>
      <c r="E20" s="20">
        <f t="shared" si="3"/>
        <v>0.01180555556</v>
      </c>
      <c r="F20" s="20">
        <f t="shared" si="4"/>
        <v>0</v>
      </c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ht="14.25" customHeight="1">
      <c r="A21" s="18">
        <v>45916.0</v>
      </c>
      <c r="B21" s="33">
        <v>0.44027777777777777</v>
      </c>
      <c r="C21" s="33">
        <v>0.8652777777777778</v>
      </c>
      <c r="D21" s="20">
        <f t="shared" si="2"/>
        <v>0.425</v>
      </c>
      <c r="E21" s="20">
        <f t="shared" si="3"/>
        <v>0.01111111111</v>
      </c>
      <c r="F21" s="20">
        <f t="shared" si="4"/>
        <v>0.002777777778</v>
      </c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ht="14.25" customHeight="1">
      <c r="A22" s="18">
        <v>45917.0</v>
      </c>
      <c r="B22" s="33">
        <v>0.4340277777777778</v>
      </c>
      <c r="C22" s="33">
        <v>0.8625</v>
      </c>
      <c r="D22" s="23">
        <f t="shared" si="2"/>
        <v>0.4284722222</v>
      </c>
      <c r="E22" s="23">
        <f t="shared" si="3"/>
        <v>0.008333333333</v>
      </c>
      <c r="F22" s="23">
        <f t="shared" si="4"/>
        <v>0</v>
      </c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ht="14.25" customHeight="1">
      <c r="A23" s="18">
        <v>45918.0</v>
      </c>
      <c r="B23" s="33">
        <v>0.43472222222222223</v>
      </c>
      <c r="C23" s="33">
        <v>0.8548611111111111</v>
      </c>
      <c r="D23" s="20">
        <f t="shared" si="2"/>
        <v>0.4201388889</v>
      </c>
      <c r="E23" s="20">
        <f t="shared" si="3"/>
        <v>0.0006944444444</v>
      </c>
      <c r="F23" s="20">
        <f t="shared" si="4"/>
        <v>0</v>
      </c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ht="14.25" customHeight="1">
      <c r="A24" s="29">
        <v>45919.0</v>
      </c>
      <c r="B24" s="35"/>
      <c r="C24" s="35"/>
      <c r="D24" s="38" t="str">
        <f t="shared" si="2"/>
        <v/>
      </c>
      <c r="E24" s="32" t="str">
        <f t="shared" si="3"/>
        <v/>
      </c>
      <c r="F24" s="38" t="str">
        <f t="shared" si="4"/>
        <v/>
      </c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ht="14.25" customHeight="1">
      <c r="A25" s="18">
        <v>45920.0</v>
      </c>
      <c r="B25" s="33">
        <v>0.4340277777777778</v>
      </c>
      <c r="C25" s="33">
        <v>0.8611111111111112</v>
      </c>
      <c r="D25" s="20">
        <f t="shared" si="2"/>
        <v>0.4270833333</v>
      </c>
      <c r="E25" s="20">
        <f t="shared" si="3"/>
        <v>0.006944444444</v>
      </c>
      <c r="F25" s="20">
        <f t="shared" si="4"/>
        <v>0</v>
      </c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ht="14.25" customHeight="1">
      <c r="A26" s="18">
        <v>45921.0</v>
      </c>
      <c r="B26" s="33">
        <v>0.4340277777777778</v>
      </c>
      <c r="C26" s="33">
        <v>0.8548611111111111</v>
      </c>
      <c r="D26" s="23">
        <f t="shared" si="2"/>
        <v>0.4208333333</v>
      </c>
      <c r="E26" s="23">
        <f t="shared" si="3"/>
        <v>0.0006944444444</v>
      </c>
      <c r="F26" s="23">
        <f t="shared" si="4"/>
        <v>0</v>
      </c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ht="14.25" customHeight="1">
      <c r="A27" s="18">
        <v>45922.0</v>
      </c>
      <c r="B27" s="33">
        <v>0.43472222222222223</v>
      </c>
      <c r="C27" s="33">
        <v>0.8652777777777778</v>
      </c>
      <c r="D27" s="20">
        <f t="shared" si="2"/>
        <v>0.4305555556</v>
      </c>
      <c r="E27" s="20">
        <f t="shared" si="3"/>
        <v>0.01111111111</v>
      </c>
      <c r="F27" s="20">
        <f t="shared" si="4"/>
        <v>0</v>
      </c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ht="14.25" customHeight="1">
      <c r="A28" s="18">
        <v>45923.0</v>
      </c>
      <c r="B28" s="33">
        <v>0.4340277777777778</v>
      </c>
      <c r="C28" s="33">
        <v>0.8583333333333333</v>
      </c>
      <c r="D28" s="20">
        <f t="shared" si="2"/>
        <v>0.4243055556</v>
      </c>
      <c r="E28" s="20">
        <f t="shared" si="3"/>
        <v>0.004166666667</v>
      </c>
      <c r="F28" s="20">
        <f t="shared" si="4"/>
        <v>0</v>
      </c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ht="14.25" customHeight="1">
      <c r="A29" s="18">
        <v>45924.0</v>
      </c>
      <c r="B29" s="33">
        <v>0.43333333333333335</v>
      </c>
      <c r="C29" s="33">
        <v>0.8597222222222223</v>
      </c>
      <c r="D29" s="23">
        <f t="shared" si="2"/>
        <v>0.4263888889</v>
      </c>
      <c r="E29" s="23">
        <f t="shared" si="3"/>
        <v>0.005555555556</v>
      </c>
      <c r="F29" s="23">
        <f t="shared" si="4"/>
        <v>0</v>
      </c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 ht="14.25" customHeight="1">
      <c r="A30" s="18">
        <v>45925.0</v>
      </c>
      <c r="B30" s="33">
        <v>0.4326388888888889</v>
      </c>
      <c r="C30" s="33">
        <v>0.8555555555555555</v>
      </c>
      <c r="D30" s="20">
        <f t="shared" si="2"/>
        <v>0.4229166667</v>
      </c>
      <c r="E30" s="20">
        <f t="shared" si="3"/>
        <v>0.001388888889</v>
      </c>
      <c r="F30" s="20">
        <f t="shared" si="4"/>
        <v>0</v>
      </c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 ht="14.25" customHeight="1">
      <c r="A31" s="29">
        <v>45926.0</v>
      </c>
      <c r="B31" s="35"/>
      <c r="C31" s="35"/>
      <c r="D31" s="38" t="str">
        <f t="shared" si="2"/>
        <v/>
      </c>
      <c r="E31" s="38" t="str">
        <f t="shared" si="3"/>
        <v/>
      </c>
      <c r="F31" s="38" t="str">
        <f t="shared" si="4"/>
        <v/>
      </c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 ht="14.25" customHeight="1">
      <c r="A32" s="18">
        <v>45927.0</v>
      </c>
      <c r="B32" s="33">
        <v>0.43333333333333335</v>
      </c>
      <c r="C32" s="33">
        <v>0.8583333333333333</v>
      </c>
      <c r="D32" s="23">
        <f t="shared" si="2"/>
        <v>0.425</v>
      </c>
      <c r="E32" s="20">
        <f t="shared" si="3"/>
        <v>0.004166666667</v>
      </c>
      <c r="F32" s="23">
        <f t="shared" si="4"/>
        <v>0</v>
      </c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 ht="14.25" customHeight="1">
      <c r="A33" s="18">
        <v>45928.0</v>
      </c>
      <c r="B33" s="33">
        <v>0.4326388888888889</v>
      </c>
      <c r="C33" s="33">
        <v>0.8722222222222222</v>
      </c>
      <c r="D33" s="23">
        <f t="shared" si="2"/>
        <v>0.4395833333</v>
      </c>
      <c r="E33" s="20">
        <f t="shared" si="3"/>
        <v>0.01805555556</v>
      </c>
      <c r="F33" s="23">
        <f t="shared" si="4"/>
        <v>0</v>
      </c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ht="14.25" customHeight="1">
      <c r="A34" s="18">
        <v>45929.0</v>
      </c>
      <c r="B34" s="33">
        <v>0.4340277777777778</v>
      </c>
      <c r="C34" s="33">
        <v>0.8763888888888889</v>
      </c>
      <c r="D34" s="20">
        <f t="shared" si="2"/>
        <v>0.4423611111</v>
      </c>
      <c r="E34" s="20">
        <f t="shared" si="3"/>
        <v>0.02222222222</v>
      </c>
      <c r="F34" s="20">
        <f t="shared" si="4"/>
        <v>0</v>
      </c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ht="14.25" customHeight="1">
      <c r="A35" s="18">
        <v>45930.0</v>
      </c>
      <c r="B35" s="33">
        <v>0.4340277777777778</v>
      </c>
      <c r="C35" s="33">
        <v>0.85625</v>
      </c>
      <c r="D35" s="23">
        <f t="shared" si="2"/>
        <v>0.4222222222</v>
      </c>
      <c r="E35" s="23">
        <f t="shared" si="3"/>
        <v>0.002083333333</v>
      </c>
      <c r="F35" s="23">
        <f t="shared" si="4"/>
        <v>0</v>
      </c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ht="14.25" customHeight="1">
      <c r="A36" s="18"/>
      <c r="B36" s="40"/>
      <c r="C36" s="40"/>
      <c r="D36" s="23" t="str">
        <f t="shared" si="2"/>
        <v/>
      </c>
      <c r="E36" s="20" t="str">
        <f t="shared" si="3"/>
        <v/>
      </c>
      <c r="F36" s="23" t="str">
        <f t="shared" si="4"/>
        <v/>
      </c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ht="14.25" customHeight="1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2:A3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15.86"/>
    <col customWidth="1" min="3" max="3" width="14.0"/>
    <col customWidth="1" min="4" max="4" width="13.86"/>
    <col customWidth="1" min="5" max="5" width="12.86"/>
    <col customWidth="1" min="6" max="6" width="14.14"/>
    <col customWidth="1" min="7" max="26" width="8.71"/>
  </cols>
  <sheetData>
    <row r="1" ht="14.25" customHeight="1">
      <c r="A1" s="1"/>
      <c r="B1" s="2" t="s">
        <v>0</v>
      </c>
      <c r="C1" s="3" t="s">
        <v>1</v>
      </c>
      <c r="D1" s="2">
        <v>2025.0</v>
      </c>
      <c r="E1" s="4"/>
      <c r="F1" s="4"/>
    </row>
    <row r="2" ht="14.25" customHeight="1">
      <c r="A2" s="41" t="s">
        <v>18</v>
      </c>
      <c r="B2" s="6" t="s">
        <v>3</v>
      </c>
      <c r="C2" s="6" t="s">
        <v>4</v>
      </c>
      <c r="D2" s="6" t="s">
        <v>5</v>
      </c>
      <c r="E2" s="7" t="s">
        <v>6</v>
      </c>
      <c r="F2" s="7"/>
    </row>
    <row r="3" ht="14.25" customHeight="1">
      <c r="A3" s="8"/>
      <c r="B3" s="9">
        <v>0.4375</v>
      </c>
      <c r="C3" s="9">
        <v>0.8541666666666666</v>
      </c>
      <c r="D3" s="10"/>
      <c r="E3" s="11">
        <f t="shared" ref="E3:F3" si="1">SUM(E6:E36)</f>
        <v>0.03263888889</v>
      </c>
      <c r="F3" s="11">
        <f t="shared" si="1"/>
        <v>0.06180555556</v>
      </c>
    </row>
    <row r="4" ht="14.25" customHeight="1">
      <c r="A4" s="12" t="s">
        <v>7</v>
      </c>
      <c r="B4" s="13"/>
      <c r="C4" s="14"/>
      <c r="D4" s="14"/>
      <c r="E4" s="13"/>
      <c r="F4" s="14"/>
    </row>
    <row r="5" ht="14.25" customHeight="1">
      <c r="A5" s="16" t="s">
        <v>8</v>
      </c>
      <c r="B5" s="17" t="s">
        <v>9</v>
      </c>
      <c r="C5" s="17" t="s">
        <v>10</v>
      </c>
      <c r="D5" s="17" t="s">
        <v>11</v>
      </c>
      <c r="E5" s="17" t="s">
        <v>6</v>
      </c>
      <c r="F5" s="17" t="s">
        <v>12</v>
      </c>
    </row>
    <row r="6" ht="14.25" customHeight="1">
      <c r="A6" s="18">
        <v>45901.0</v>
      </c>
      <c r="B6" s="19">
        <v>0.4270833333333333</v>
      </c>
      <c r="C6" s="19">
        <v>0.8541666666666666</v>
      </c>
      <c r="D6" s="20">
        <f t="shared" ref="D6:D36" si="2">if(isblank(B6),"", mod((C6-B6),1))</f>
        <v>0.4270833333</v>
      </c>
      <c r="E6" s="20" t="str">
        <f t="shared" ref="E6:E36" si="3">IF(C6&gt;$C$3,C6-$C$3,"")</f>
        <v/>
      </c>
      <c r="F6" s="20">
        <f t="shared" ref="F6:F36" si="4">if(isblank(B6),"",IF($B$3&gt;B6,0,(B6-$B$3)))</f>
        <v>0</v>
      </c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ht="14.25" customHeight="1">
      <c r="A7" s="18">
        <v>45902.0</v>
      </c>
      <c r="B7" s="19">
        <v>0.44375</v>
      </c>
      <c r="C7" s="19">
        <v>0.8541666666666666</v>
      </c>
      <c r="D7" s="20">
        <f t="shared" si="2"/>
        <v>0.4104166667</v>
      </c>
      <c r="E7" s="20" t="str">
        <f t="shared" si="3"/>
        <v/>
      </c>
      <c r="F7" s="20">
        <f t="shared" si="4"/>
        <v>0.00625</v>
      </c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ht="14.25" customHeight="1">
      <c r="A8" s="18">
        <v>45903.0</v>
      </c>
      <c r="B8" s="22">
        <v>0.4361111111111111</v>
      </c>
      <c r="C8" s="22">
        <v>0.8541666666666666</v>
      </c>
      <c r="D8" s="23">
        <f t="shared" si="2"/>
        <v>0.4180555556</v>
      </c>
      <c r="E8" s="23" t="str">
        <f t="shared" si="3"/>
        <v/>
      </c>
      <c r="F8" s="23">
        <f t="shared" si="4"/>
        <v>0</v>
      </c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 ht="14.25" customHeight="1">
      <c r="A9" s="18">
        <v>45904.0</v>
      </c>
      <c r="B9" s="19">
        <v>0.43819444444444444</v>
      </c>
      <c r="C9" s="19">
        <v>0.8541666666666666</v>
      </c>
      <c r="D9" s="20">
        <f t="shared" si="2"/>
        <v>0.4159722222</v>
      </c>
      <c r="E9" s="20" t="str">
        <f t="shared" si="3"/>
        <v/>
      </c>
      <c r="F9" s="20">
        <f t="shared" si="4"/>
        <v>0.0006944444444</v>
      </c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 ht="14.25" customHeight="1">
      <c r="A10" s="29">
        <v>45905.0</v>
      </c>
      <c r="B10" s="43"/>
      <c r="C10" s="43"/>
      <c r="D10" s="44" t="str">
        <f t="shared" si="2"/>
        <v/>
      </c>
      <c r="E10" s="32" t="str">
        <f t="shared" si="3"/>
        <v/>
      </c>
      <c r="F10" s="38" t="str">
        <f t="shared" si="4"/>
        <v/>
      </c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 ht="14.25" customHeight="1">
      <c r="A11" s="54">
        <v>45906.0</v>
      </c>
      <c r="B11" s="55"/>
      <c r="C11" s="55"/>
      <c r="D11" s="56" t="str">
        <f t="shared" si="2"/>
        <v/>
      </c>
      <c r="E11" s="57" t="str">
        <f t="shared" si="3"/>
        <v/>
      </c>
      <c r="F11" s="57" t="str">
        <f t="shared" si="4"/>
        <v/>
      </c>
      <c r="G11" s="58" t="s">
        <v>19</v>
      </c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ht="14.25" customHeight="1">
      <c r="A12" s="18">
        <v>45907.0</v>
      </c>
      <c r="B12" s="33">
        <v>0.43680555555555556</v>
      </c>
      <c r="C12" s="33">
        <v>0.78125</v>
      </c>
      <c r="D12" s="34">
        <f t="shared" si="2"/>
        <v>0.3444444444</v>
      </c>
      <c r="E12" s="20" t="str">
        <f t="shared" si="3"/>
        <v/>
      </c>
      <c r="F12" s="20">
        <f t="shared" si="4"/>
        <v>0</v>
      </c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 ht="14.25" customHeight="1">
      <c r="A13" s="47">
        <v>45908.0</v>
      </c>
      <c r="B13" s="48"/>
      <c r="C13" s="48"/>
      <c r="D13" s="50" t="str">
        <f t="shared" si="2"/>
        <v/>
      </c>
      <c r="E13" s="51" t="str">
        <f t="shared" si="3"/>
        <v/>
      </c>
      <c r="F13" s="51" t="str">
        <f t="shared" si="4"/>
        <v/>
      </c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ht="14.25" customHeight="1">
      <c r="A14" s="18">
        <v>45909.0</v>
      </c>
      <c r="B14" s="33">
        <v>0.44166666666666665</v>
      </c>
      <c r="C14" s="33">
        <v>0.8541666666666666</v>
      </c>
      <c r="D14" s="34">
        <f t="shared" si="2"/>
        <v>0.4125</v>
      </c>
      <c r="E14" s="20" t="str">
        <f t="shared" si="3"/>
        <v/>
      </c>
      <c r="F14" s="20">
        <f t="shared" si="4"/>
        <v>0.004166666667</v>
      </c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ht="14.25" customHeight="1">
      <c r="A15" s="18">
        <v>45910.0</v>
      </c>
      <c r="B15" s="33">
        <v>0.44305555555555554</v>
      </c>
      <c r="C15" s="33">
        <v>0.8541666666666666</v>
      </c>
      <c r="D15" s="34">
        <f t="shared" si="2"/>
        <v>0.4111111111</v>
      </c>
      <c r="E15" s="20" t="str">
        <f t="shared" si="3"/>
        <v/>
      </c>
      <c r="F15" s="20">
        <f t="shared" si="4"/>
        <v>0.005555555556</v>
      </c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ht="14.25" customHeight="1">
      <c r="A16" s="18">
        <v>45911.0</v>
      </c>
      <c r="B16" s="33">
        <v>0.43819444444444444</v>
      </c>
      <c r="C16" s="33">
        <v>0.8541666666666666</v>
      </c>
      <c r="D16" s="34">
        <f t="shared" si="2"/>
        <v>0.4159722222</v>
      </c>
      <c r="E16" s="20" t="str">
        <f t="shared" si="3"/>
        <v/>
      </c>
      <c r="F16" s="20">
        <f t="shared" si="4"/>
        <v>0.0006944444444</v>
      </c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ht="14.25" customHeight="1">
      <c r="A17" s="29">
        <v>45912.0</v>
      </c>
      <c r="B17" s="35"/>
      <c r="C17" s="35"/>
      <c r="D17" s="31" t="str">
        <f t="shared" si="2"/>
        <v/>
      </c>
      <c r="E17" s="32" t="str">
        <f t="shared" si="3"/>
        <v/>
      </c>
      <c r="F17" s="32" t="str">
        <f t="shared" si="4"/>
        <v/>
      </c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ht="14.25" customHeight="1">
      <c r="A18" s="18">
        <v>45913.0</v>
      </c>
      <c r="B18" s="33">
        <v>0.4652777777777778</v>
      </c>
      <c r="C18" s="33">
        <v>0.875</v>
      </c>
      <c r="D18" s="34">
        <f t="shared" si="2"/>
        <v>0.4097222222</v>
      </c>
      <c r="E18" s="20">
        <f t="shared" si="3"/>
        <v>0.02083333333</v>
      </c>
      <c r="F18" s="20">
        <f t="shared" si="4"/>
        <v>0.02777777778</v>
      </c>
      <c r="G18" s="59" t="s">
        <v>20</v>
      </c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ht="14.25" customHeight="1">
      <c r="A19" s="18">
        <v>45914.0</v>
      </c>
      <c r="B19" s="36">
        <v>0.4479166666666667</v>
      </c>
      <c r="C19" s="33">
        <v>0.8541666666666666</v>
      </c>
      <c r="D19" s="37">
        <f t="shared" si="2"/>
        <v>0.40625</v>
      </c>
      <c r="E19" s="23" t="str">
        <f t="shared" si="3"/>
        <v/>
      </c>
      <c r="F19" s="23">
        <f t="shared" si="4"/>
        <v>0.01041666667</v>
      </c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ht="14.25" customHeight="1">
      <c r="A20" s="18">
        <v>45915.0</v>
      </c>
      <c r="B20" s="33">
        <v>0.4395833333333333</v>
      </c>
      <c r="C20" s="33">
        <v>0.8541666666666666</v>
      </c>
      <c r="D20" s="34">
        <f t="shared" si="2"/>
        <v>0.4145833333</v>
      </c>
      <c r="E20" s="20" t="str">
        <f t="shared" si="3"/>
        <v/>
      </c>
      <c r="F20" s="20">
        <f t="shared" si="4"/>
        <v>0.002083333333</v>
      </c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ht="14.25" customHeight="1">
      <c r="A21" s="18">
        <v>45916.0</v>
      </c>
      <c r="B21" s="33">
        <v>0.4340277777777778</v>
      </c>
      <c r="C21" s="33">
        <v>0.8555555555555555</v>
      </c>
      <c r="D21" s="20">
        <f t="shared" si="2"/>
        <v>0.4215277778</v>
      </c>
      <c r="E21" s="20">
        <f t="shared" si="3"/>
        <v>0.001388888889</v>
      </c>
      <c r="F21" s="20">
        <f t="shared" si="4"/>
        <v>0</v>
      </c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ht="14.25" customHeight="1">
      <c r="A22" s="18">
        <v>45917.0</v>
      </c>
      <c r="B22" s="33">
        <v>0.4375</v>
      </c>
      <c r="C22" s="33">
        <v>0.8625</v>
      </c>
      <c r="D22" s="23">
        <f t="shared" si="2"/>
        <v>0.425</v>
      </c>
      <c r="E22" s="23">
        <f t="shared" si="3"/>
        <v>0.008333333333</v>
      </c>
      <c r="F22" s="23">
        <f t="shared" si="4"/>
        <v>0</v>
      </c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ht="14.25" customHeight="1">
      <c r="A23" s="18">
        <v>45918.0</v>
      </c>
      <c r="B23" s="33">
        <v>0.4375</v>
      </c>
      <c r="C23" s="33">
        <v>0.8541666666666666</v>
      </c>
      <c r="D23" s="20">
        <f t="shared" si="2"/>
        <v>0.4166666667</v>
      </c>
      <c r="E23" s="20" t="str">
        <f t="shared" si="3"/>
        <v/>
      </c>
      <c r="F23" s="20">
        <f t="shared" si="4"/>
        <v>0</v>
      </c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ht="14.25" customHeight="1">
      <c r="A24" s="29">
        <v>45919.0</v>
      </c>
      <c r="B24" s="30"/>
      <c r="C24" s="30"/>
      <c r="D24" s="38" t="str">
        <f t="shared" si="2"/>
        <v/>
      </c>
      <c r="E24" s="32" t="str">
        <f t="shared" si="3"/>
        <v/>
      </c>
      <c r="F24" s="38" t="str">
        <f t="shared" si="4"/>
        <v/>
      </c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ht="14.25" customHeight="1">
      <c r="A25" s="18">
        <v>45920.0</v>
      </c>
      <c r="B25" s="33">
        <v>0.4361111111111111</v>
      </c>
      <c r="C25" s="33">
        <v>0.8541666666666666</v>
      </c>
      <c r="D25" s="20">
        <f t="shared" si="2"/>
        <v>0.4180555556</v>
      </c>
      <c r="E25" s="20" t="str">
        <f t="shared" si="3"/>
        <v/>
      </c>
      <c r="F25" s="20">
        <f t="shared" si="4"/>
        <v>0</v>
      </c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ht="14.25" customHeight="1">
      <c r="A26" s="18">
        <v>45921.0</v>
      </c>
      <c r="B26" s="33">
        <v>0.4354166666666667</v>
      </c>
      <c r="C26" s="33">
        <v>0.8541666666666666</v>
      </c>
      <c r="D26" s="23">
        <f t="shared" si="2"/>
        <v>0.41875</v>
      </c>
      <c r="E26" s="23" t="str">
        <f t="shared" si="3"/>
        <v/>
      </c>
      <c r="F26" s="23">
        <f t="shared" si="4"/>
        <v>0</v>
      </c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ht="14.25" customHeight="1">
      <c r="A27" s="18">
        <v>45922.0</v>
      </c>
      <c r="B27" s="33">
        <v>0.4388888888888889</v>
      </c>
      <c r="C27" s="33">
        <v>0.8541666666666666</v>
      </c>
      <c r="D27" s="20">
        <f t="shared" si="2"/>
        <v>0.4152777778</v>
      </c>
      <c r="E27" s="20" t="str">
        <f t="shared" si="3"/>
        <v/>
      </c>
      <c r="F27" s="20">
        <f t="shared" si="4"/>
        <v>0.001388888889</v>
      </c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ht="14.25" customHeight="1">
      <c r="A28" s="18">
        <v>45923.0</v>
      </c>
      <c r="B28" s="33">
        <v>0.44027777777777777</v>
      </c>
      <c r="C28" s="33">
        <v>0.8541666666666666</v>
      </c>
      <c r="D28" s="20">
        <f t="shared" si="2"/>
        <v>0.4138888889</v>
      </c>
      <c r="E28" s="20" t="str">
        <f t="shared" si="3"/>
        <v/>
      </c>
      <c r="F28" s="20">
        <f t="shared" si="4"/>
        <v>0.002777777778</v>
      </c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ht="14.25" customHeight="1">
      <c r="A29" s="18">
        <v>45924.0</v>
      </c>
      <c r="B29" s="33">
        <v>0.43472222222222223</v>
      </c>
      <c r="C29" s="33">
        <v>0.8541666666666666</v>
      </c>
      <c r="D29" s="23">
        <f t="shared" si="2"/>
        <v>0.4194444444</v>
      </c>
      <c r="E29" s="23" t="str">
        <f t="shared" si="3"/>
        <v/>
      </c>
      <c r="F29" s="23">
        <f t="shared" si="4"/>
        <v>0</v>
      </c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 ht="14.25" customHeight="1">
      <c r="A30" s="18">
        <v>45925.0</v>
      </c>
      <c r="B30" s="33">
        <v>0.43680555555555556</v>
      </c>
      <c r="C30" s="33">
        <v>0.8541666666666666</v>
      </c>
      <c r="D30" s="20">
        <f t="shared" si="2"/>
        <v>0.4173611111</v>
      </c>
      <c r="E30" s="20" t="str">
        <f t="shared" si="3"/>
        <v/>
      </c>
      <c r="F30" s="20">
        <f t="shared" si="4"/>
        <v>0</v>
      </c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 ht="14.25" customHeight="1">
      <c r="A31" s="29">
        <v>45926.0</v>
      </c>
      <c r="B31" s="35"/>
      <c r="C31" s="35"/>
      <c r="D31" s="38" t="str">
        <f t="shared" si="2"/>
        <v/>
      </c>
      <c r="E31" s="38" t="str">
        <f t="shared" si="3"/>
        <v/>
      </c>
      <c r="F31" s="38" t="str">
        <f t="shared" si="4"/>
        <v/>
      </c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 ht="14.25" customHeight="1">
      <c r="A32" s="18">
        <v>45927.0</v>
      </c>
      <c r="B32" s="33">
        <v>0.43680555555555556</v>
      </c>
      <c r="C32" s="33">
        <v>0.8541666666666666</v>
      </c>
      <c r="D32" s="23">
        <f t="shared" si="2"/>
        <v>0.4173611111</v>
      </c>
      <c r="E32" s="20" t="str">
        <f t="shared" si="3"/>
        <v/>
      </c>
      <c r="F32" s="23">
        <f t="shared" si="4"/>
        <v>0</v>
      </c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 ht="14.25" customHeight="1">
      <c r="A33" s="18">
        <v>45928.0</v>
      </c>
      <c r="B33" s="33">
        <v>0.4375</v>
      </c>
      <c r="C33" s="33">
        <v>0.8541666666666666</v>
      </c>
      <c r="D33" s="23">
        <f t="shared" si="2"/>
        <v>0.4166666667</v>
      </c>
      <c r="E33" s="20" t="str">
        <f t="shared" si="3"/>
        <v/>
      </c>
      <c r="F33" s="23">
        <f t="shared" si="4"/>
        <v>0</v>
      </c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ht="14.25" customHeight="1">
      <c r="A34" s="47">
        <v>45929.0</v>
      </c>
      <c r="B34" s="48"/>
      <c r="C34" s="48"/>
      <c r="D34" s="51" t="str">
        <f t="shared" si="2"/>
        <v/>
      </c>
      <c r="E34" s="51" t="str">
        <f t="shared" si="3"/>
        <v/>
      </c>
      <c r="F34" s="51" t="str">
        <f t="shared" si="4"/>
        <v/>
      </c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ht="14.25" customHeight="1">
      <c r="A35" s="18">
        <v>45930.0</v>
      </c>
      <c r="B35" s="33">
        <v>0.4361111111111111</v>
      </c>
      <c r="C35" s="33">
        <v>0.85625</v>
      </c>
      <c r="D35" s="23">
        <f t="shared" si="2"/>
        <v>0.4201388889</v>
      </c>
      <c r="E35" s="23">
        <f t="shared" si="3"/>
        <v>0.002083333333</v>
      </c>
      <c r="F35" s="23">
        <f t="shared" si="4"/>
        <v>0</v>
      </c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ht="14.25" customHeight="1">
      <c r="A36" s="18"/>
      <c r="B36" s="40"/>
      <c r="C36" s="40"/>
      <c r="D36" s="23" t="str">
        <f t="shared" si="2"/>
        <v/>
      </c>
      <c r="E36" s="20" t="str">
        <f t="shared" si="3"/>
        <v/>
      </c>
      <c r="F36" s="23" t="str">
        <f t="shared" si="4"/>
        <v/>
      </c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ht="14.25" customHeight="1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2:A3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15.86"/>
    <col customWidth="1" min="3" max="3" width="14.0"/>
    <col customWidth="1" min="4" max="4" width="13.86"/>
    <col customWidth="1" min="5" max="5" width="12.86"/>
    <col customWidth="1" min="6" max="6" width="14.14"/>
    <col customWidth="1" min="7" max="26" width="8.71"/>
  </cols>
  <sheetData>
    <row r="1" ht="14.25" customHeight="1">
      <c r="A1" s="1"/>
      <c r="B1" s="2" t="s">
        <v>0</v>
      </c>
      <c r="C1" s="3" t="s">
        <v>1</v>
      </c>
      <c r="D1" s="2">
        <v>2025.0</v>
      </c>
      <c r="E1" s="4"/>
      <c r="F1" s="4"/>
    </row>
    <row r="2" ht="14.25" customHeight="1">
      <c r="A2" s="41" t="s">
        <v>21</v>
      </c>
      <c r="B2" s="6" t="s">
        <v>3</v>
      </c>
      <c r="C2" s="6" t="s">
        <v>4</v>
      </c>
      <c r="D2" s="6" t="s">
        <v>5</v>
      </c>
      <c r="E2" s="7" t="s">
        <v>6</v>
      </c>
      <c r="F2" s="7"/>
    </row>
    <row r="3" ht="14.25" customHeight="1">
      <c r="A3" s="8"/>
      <c r="B3" s="19">
        <v>0.4583333333333333</v>
      </c>
      <c r="C3" s="19">
        <v>0.875</v>
      </c>
      <c r="D3" s="10"/>
      <c r="E3" s="11">
        <f t="shared" ref="E3:F3" si="1">SUM(E6:E36)</f>
        <v>0.08680555556</v>
      </c>
      <c r="F3" s="11">
        <f t="shared" si="1"/>
        <v>0</v>
      </c>
    </row>
    <row r="4" ht="14.25" customHeight="1">
      <c r="A4" s="12" t="s">
        <v>7</v>
      </c>
      <c r="B4" s="13"/>
      <c r="C4" s="14"/>
      <c r="D4" s="14"/>
      <c r="E4" s="13"/>
      <c r="F4" s="14"/>
    </row>
    <row r="5" ht="14.25" customHeight="1">
      <c r="A5" s="16" t="s">
        <v>8</v>
      </c>
      <c r="B5" s="17" t="s">
        <v>9</v>
      </c>
      <c r="C5" s="17" t="s">
        <v>10</v>
      </c>
      <c r="D5" s="17" t="s">
        <v>11</v>
      </c>
      <c r="E5" s="17" t="s">
        <v>6</v>
      </c>
      <c r="F5" s="17" t="s">
        <v>12</v>
      </c>
    </row>
    <row r="6" ht="14.25" customHeight="1">
      <c r="A6" s="18">
        <v>45901.0</v>
      </c>
      <c r="B6" s="19">
        <v>0.4444444444444444</v>
      </c>
      <c r="C6" s="19">
        <v>0.875</v>
      </c>
      <c r="D6" s="20">
        <f t="shared" ref="D6:D36" si="2">if(isblank(B6),"", mod((C6-B6),1))</f>
        <v>0.4305555556</v>
      </c>
      <c r="E6" s="20" t="str">
        <f t="shared" ref="E6:E36" si="3">IF(C6&gt;$C$3,C6-$C$3,"")</f>
        <v/>
      </c>
      <c r="F6" s="20">
        <f t="shared" ref="F6:F36" si="4">if(isblank(B6),"",IF($B$3&gt;B6,0,(B6-$B$3)))</f>
        <v>0</v>
      </c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ht="14.25" customHeight="1">
      <c r="A7" s="18">
        <v>45902.0</v>
      </c>
      <c r="B7" s="19">
        <v>0.4444444444444444</v>
      </c>
      <c r="C7" s="19">
        <v>0.875</v>
      </c>
      <c r="D7" s="20">
        <f t="shared" si="2"/>
        <v>0.4305555556</v>
      </c>
      <c r="E7" s="20" t="str">
        <f t="shared" si="3"/>
        <v/>
      </c>
      <c r="F7" s="20">
        <f t="shared" si="4"/>
        <v>0</v>
      </c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ht="14.25" customHeight="1">
      <c r="A8" s="18">
        <v>45903.0</v>
      </c>
      <c r="B8" s="22">
        <v>0.4444444444444444</v>
      </c>
      <c r="C8" s="22">
        <v>0.8784722222222222</v>
      </c>
      <c r="D8" s="23">
        <f t="shared" si="2"/>
        <v>0.4340277778</v>
      </c>
      <c r="E8" s="23">
        <f t="shared" si="3"/>
        <v>0.003472222222</v>
      </c>
      <c r="F8" s="23">
        <f t="shared" si="4"/>
        <v>0</v>
      </c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 ht="14.25" customHeight="1">
      <c r="A9" s="29">
        <v>45904.0</v>
      </c>
      <c r="B9" s="60"/>
      <c r="C9" s="60"/>
      <c r="D9" s="32" t="str">
        <f t="shared" si="2"/>
        <v/>
      </c>
      <c r="E9" s="32" t="str">
        <f t="shared" si="3"/>
        <v/>
      </c>
      <c r="F9" s="32" t="str">
        <f t="shared" si="4"/>
        <v/>
      </c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 ht="14.25" customHeight="1">
      <c r="A10" s="18">
        <v>45905.0</v>
      </c>
      <c r="B10" s="36">
        <v>0.4444444444444444</v>
      </c>
      <c r="C10" s="36">
        <v>0.8958333333333334</v>
      </c>
      <c r="D10" s="37">
        <f t="shared" si="2"/>
        <v>0.4513888889</v>
      </c>
      <c r="E10" s="20">
        <f t="shared" si="3"/>
        <v>0.02083333333</v>
      </c>
      <c r="F10" s="23">
        <f t="shared" si="4"/>
        <v>0</v>
      </c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 ht="14.25" customHeight="1">
      <c r="A11" s="29">
        <v>45906.0</v>
      </c>
      <c r="B11" s="30">
        <v>0.4479166666666667</v>
      </c>
      <c r="C11" s="30">
        <v>0.875</v>
      </c>
      <c r="D11" s="31">
        <f t="shared" si="2"/>
        <v>0.4270833333</v>
      </c>
      <c r="E11" s="32" t="str">
        <f t="shared" si="3"/>
        <v/>
      </c>
      <c r="F11" s="32">
        <f t="shared" si="4"/>
        <v>0</v>
      </c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ht="14.25" customHeight="1">
      <c r="A12" s="18">
        <v>45907.0</v>
      </c>
      <c r="B12" s="33">
        <v>0.4444444444444444</v>
      </c>
      <c r="C12" s="33">
        <v>0.875</v>
      </c>
      <c r="D12" s="34">
        <f t="shared" si="2"/>
        <v>0.4305555556</v>
      </c>
      <c r="E12" s="20" t="str">
        <f t="shared" si="3"/>
        <v/>
      </c>
      <c r="F12" s="20">
        <f t="shared" si="4"/>
        <v>0</v>
      </c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 ht="14.25" customHeight="1">
      <c r="A13" s="18">
        <v>45908.0</v>
      </c>
      <c r="B13" s="33">
        <v>0.44513888888888886</v>
      </c>
      <c r="C13" s="33">
        <v>0.875</v>
      </c>
      <c r="D13" s="34">
        <f t="shared" si="2"/>
        <v>0.4298611111</v>
      </c>
      <c r="E13" s="20" t="str">
        <f t="shared" si="3"/>
        <v/>
      </c>
      <c r="F13" s="20">
        <f t="shared" si="4"/>
        <v>0</v>
      </c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ht="14.25" customHeight="1">
      <c r="A14" s="18">
        <v>45909.0</v>
      </c>
      <c r="B14" s="33">
        <v>0.4444444444444444</v>
      </c>
      <c r="C14" s="33">
        <v>0.875</v>
      </c>
      <c r="D14" s="34">
        <f t="shared" si="2"/>
        <v>0.4305555556</v>
      </c>
      <c r="E14" s="20" t="str">
        <f t="shared" si="3"/>
        <v/>
      </c>
      <c r="F14" s="20">
        <f t="shared" si="4"/>
        <v>0</v>
      </c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ht="14.25" customHeight="1">
      <c r="A15" s="18">
        <v>45910.0</v>
      </c>
      <c r="B15" s="33">
        <v>0.4444444444444444</v>
      </c>
      <c r="C15" s="33">
        <v>0.875</v>
      </c>
      <c r="D15" s="34">
        <f t="shared" si="2"/>
        <v>0.4305555556</v>
      </c>
      <c r="E15" s="20" t="str">
        <f t="shared" si="3"/>
        <v/>
      </c>
      <c r="F15" s="20">
        <f t="shared" si="4"/>
        <v>0</v>
      </c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ht="14.25" customHeight="1">
      <c r="A16" s="29">
        <v>45911.0</v>
      </c>
      <c r="B16" s="35"/>
      <c r="C16" s="35"/>
      <c r="D16" s="31" t="str">
        <f t="shared" si="2"/>
        <v/>
      </c>
      <c r="E16" s="32" t="str">
        <f t="shared" si="3"/>
        <v/>
      </c>
      <c r="F16" s="32" t="str">
        <f t="shared" si="4"/>
        <v/>
      </c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ht="14.25" customHeight="1">
      <c r="A17" s="18">
        <v>45912.0</v>
      </c>
      <c r="B17" s="33">
        <v>0.4513888888888889</v>
      </c>
      <c r="C17" s="33">
        <v>0.8958333333333334</v>
      </c>
      <c r="D17" s="34">
        <f t="shared" si="2"/>
        <v>0.4444444444</v>
      </c>
      <c r="E17" s="20">
        <f t="shared" si="3"/>
        <v>0.02083333333</v>
      </c>
      <c r="F17" s="20">
        <f t="shared" si="4"/>
        <v>0</v>
      </c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ht="14.25" customHeight="1">
      <c r="A18" s="18">
        <v>45913.0</v>
      </c>
      <c r="B18" s="33">
        <v>0.44583333333333336</v>
      </c>
      <c r="C18" s="33">
        <v>0.875</v>
      </c>
      <c r="D18" s="34">
        <f t="shared" si="2"/>
        <v>0.4291666667</v>
      </c>
      <c r="E18" s="20" t="str">
        <f t="shared" si="3"/>
        <v/>
      </c>
      <c r="F18" s="20">
        <f t="shared" si="4"/>
        <v>0</v>
      </c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ht="14.25" customHeight="1">
      <c r="A19" s="18">
        <v>45914.0</v>
      </c>
      <c r="B19" s="36">
        <v>0.44513888888888886</v>
      </c>
      <c r="C19" s="33">
        <v>0.875</v>
      </c>
      <c r="D19" s="37">
        <f t="shared" si="2"/>
        <v>0.4298611111</v>
      </c>
      <c r="E19" s="23" t="str">
        <f t="shared" si="3"/>
        <v/>
      </c>
      <c r="F19" s="23">
        <f t="shared" si="4"/>
        <v>0</v>
      </c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ht="14.25" customHeight="1">
      <c r="A20" s="18">
        <v>45915.0</v>
      </c>
      <c r="B20" s="33">
        <v>0.4444444444444444</v>
      </c>
      <c r="C20" s="33">
        <v>0.875</v>
      </c>
      <c r="D20" s="34">
        <f t="shared" si="2"/>
        <v>0.4305555556</v>
      </c>
      <c r="E20" s="20" t="str">
        <f t="shared" si="3"/>
        <v/>
      </c>
      <c r="F20" s="20">
        <f t="shared" si="4"/>
        <v>0</v>
      </c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ht="14.25" customHeight="1">
      <c r="A21" s="18">
        <v>45916.0</v>
      </c>
      <c r="B21" s="33">
        <v>0.4444444444444444</v>
      </c>
      <c r="C21" s="33">
        <v>0.875</v>
      </c>
      <c r="D21" s="20">
        <f t="shared" si="2"/>
        <v>0.4305555556</v>
      </c>
      <c r="E21" s="20" t="str">
        <f t="shared" si="3"/>
        <v/>
      </c>
      <c r="F21" s="20">
        <f t="shared" si="4"/>
        <v>0</v>
      </c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ht="14.25" customHeight="1">
      <c r="A22" s="18">
        <v>45917.0</v>
      </c>
      <c r="B22" s="33">
        <v>0.4444444444444444</v>
      </c>
      <c r="C22" s="33">
        <v>0.875</v>
      </c>
      <c r="D22" s="23">
        <f t="shared" si="2"/>
        <v>0.4305555556</v>
      </c>
      <c r="E22" s="23" t="str">
        <f t="shared" si="3"/>
        <v/>
      </c>
      <c r="F22" s="23">
        <f t="shared" si="4"/>
        <v>0</v>
      </c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ht="14.25" customHeight="1">
      <c r="A23" s="29">
        <v>45918.0</v>
      </c>
      <c r="B23" s="35"/>
      <c r="C23" s="35"/>
      <c r="D23" s="32" t="str">
        <f t="shared" si="2"/>
        <v/>
      </c>
      <c r="E23" s="32" t="str">
        <f t="shared" si="3"/>
        <v/>
      </c>
      <c r="F23" s="32" t="str">
        <f t="shared" si="4"/>
        <v/>
      </c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ht="14.25" customHeight="1">
      <c r="A24" s="18">
        <v>45919.0</v>
      </c>
      <c r="B24" s="33">
        <v>0.4444444444444444</v>
      </c>
      <c r="C24" s="33">
        <v>0.8958333333333334</v>
      </c>
      <c r="D24" s="23">
        <f t="shared" si="2"/>
        <v>0.4513888889</v>
      </c>
      <c r="E24" s="20">
        <f t="shared" si="3"/>
        <v>0.02083333333</v>
      </c>
      <c r="F24" s="23">
        <f t="shared" si="4"/>
        <v>0</v>
      </c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ht="14.25" customHeight="1">
      <c r="A25" s="18">
        <v>45920.0</v>
      </c>
      <c r="B25" s="33">
        <v>0.44513888888888886</v>
      </c>
      <c r="C25" s="33">
        <v>0.875</v>
      </c>
      <c r="D25" s="20">
        <f t="shared" si="2"/>
        <v>0.4298611111</v>
      </c>
      <c r="E25" s="20" t="str">
        <f t="shared" si="3"/>
        <v/>
      </c>
      <c r="F25" s="20">
        <f t="shared" si="4"/>
        <v>0</v>
      </c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ht="14.25" customHeight="1">
      <c r="A26" s="18">
        <v>45921.0</v>
      </c>
      <c r="B26" s="33">
        <v>0.4444444444444444</v>
      </c>
      <c r="C26" s="33">
        <v>0.875</v>
      </c>
      <c r="D26" s="23">
        <f t="shared" si="2"/>
        <v>0.4305555556</v>
      </c>
      <c r="E26" s="23" t="str">
        <f t="shared" si="3"/>
        <v/>
      </c>
      <c r="F26" s="23">
        <f t="shared" si="4"/>
        <v>0</v>
      </c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ht="14.25" customHeight="1">
      <c r="A27" s="18">
        <v>45922.0</v>
      </c>
      <c r="B27" s="33">
        <v>0.4444444444444444</v>
      </c>
      <c r="C27" s="33">
        <v>0.875</v>
      </c>
      <c r="D27" s="20">
        <f t="shared" si="2"/>
        <v>0.4305555556</v>
      </c>
      <c r="E27" s="20" t="str">
        <f t="shared" si="3"/>
        <v/>
      </c>
      <c r="F27" s="20">
        <f t="shared" si="4"/>
        <v>0</v>
      </c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ht="14.25" customHeight="1">
      <c r="A28" s="18">
        <v>45923.0</v>
      </c>
      <c r="B28" s="33">
        <v>0.4444444444444444</v>
      </c>
      <c r="C28" s="33">
        <v>0.875</v>
      </c>
      <c r="D28" s="20">
        <f t="shared" si="2"/>
        <v>0.4305555556</v>
      </c>
      <c r="E28" s="20" t="str">
        <f t="shared" si="3"/>
        <v/>
      </c>
      <c r="F28" s="20">
        <f t="shared" si="4"/>
        <v>0</v>
      </c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ht="14.25" customHeight="1">
      <c r="A29" s="18">
        <v>45924.0</v>
      </c>
      <c r="B29" s="33">
        <v>0.4444444444444444</v>
      </c>
      <c r="C29" s="33">
        <v>0.875</v>
      </c>
      <c r="D29" s="23">
        <f t="shared" si="2"/>
        <v>0.4305555556</v>
      </c>
      <c r="E29" s="23" t="str">
        <f t="shared" si="3"/>
        <v/>
      </c>
      <c r="F29" s="23">
        <f t="shared" si="4"/>
        <v>0</v>
      </c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 ht="14.25" customHeight="1">
      <c r="A30" s="29">
        <v>45925.0</v>
      </c>
      <c r="B30" s="30">
        <v>0.44583333333333336</v>
      </c>
      <c r="C30" s="30">
        <v>0.875</v>
      </c>
      <c r="D30" s="32">
        <f t="shared" si="2"/>
        <v>0.4291666667</v>
      </c>
      <c r="E30" s="32" t="str">
        <f t="shared" si="3"/>
        <v/>
      </c>
      <c r="F30" s="32">
        <f t="shared" si="4"/>
        <v>0</v>
      </c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 ht="14.25" customHeight="1">
      <c r="A31" s="18">
        <v>45926.0</v>
      </c>
      <c r="B31" s="33">
        <v>0.4444444444444444</v>
      </c>
      <c r="C31" s="33">
        <v>0.8958333333333334</v>
      </c>
      <c r="D31" s="23">
        <f t="shared" si="2"/>
        <v>0.4513888889</v>
      </c>
      <c r="E31" s="23">
        <f t="shared" si="3"/>
        <v>0.02083333333</v>
      </c>
      <c r="F31" s="23">
        <f t="shared" si="4"/>
        <v>0</v>
      </c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 ht="14.25" customHeight="1">
      <c r="A32" s="18">
        <v>45927.0</v>
      </c>
      <c r="B32" s="33">
        <v>0.4444444444444444</v>
      </c>
      <c r="C32" s="33">
        <v>0.875</v>
      </c>
      <c r="D32" s="23">
        <f t="shared" si="2"/>
        <v>0.4305555556</v>
      </c>
      <c r="E32" s="20" t="str">
        <f t="shared" si="3"/>
        <v/>
      </c>
      <c r="F32" s="23">
        <f t="shared" si="4"/>
        <v>0</v>
      </c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 ht="14.25" customHeight="1">
      <c r="A33" s="18">
        <v>45928.0</v>
      </c>
      <c r="B33" s="33">
        <v>0.4444444444444444</v>
      </c>
      <c r="C33" s="33">
        <v>0.875</v>
      </c>
      <c r="D33" s="23">
        <f t="shared" si="2"/>
        <v>0.4305555556</v>
      </c>
      <c r="E33" s="20" t="str">
        <f t="shared" si="3"/>
        <v/>
      </c>
      <c r="F33" s="23">
        <f t="shared" si="4"/>
        <v>0</v>
      </c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ht="14.25" customHeight="1">
      <c r="A34" s="18">
        <v>45929.0</v>
      </c>
      <c r="B34" s="33">
        <v>0.4444444444444444</v>
      </c>
      <c r="C34" s="33">
        <v>0.875</v>
      </c>
      <c r="D34" s="20">
        <f t="shared" si="2"/>
        <v>0.4305555556</v>
      </c>
      <c r="E34" s="20" t="str">
        <f t="shared" si="3"/>
        <v/>
      </c>
      <c r="F34" s="20">
        <f t="shared" si="4"/>
        <v>0</v>
      </c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ht="14.25" customHeight="1">
      <c r="A35" s="18">
        <v>45930.0</v>
      </c>
      <c r="B35" s="33">
        <v>0.4444444444444444</v>
      </c>
      <c r="C35" s="33">
        <v>0.875</v>
      </c>
      <c r="D35" s="23">
        <f t="shared" si="2"/>
        <v>0.4305555556</v>
      </c>
      <c r="E35" s="23" t="str">
        <f t="shared" si="3"/>
        <v/>
      </c>
      <c r="F35" s="23">
        <f t="shared" si="4"/>
        <v>0</v>
      </c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ht="14.25" customHeight="1">
      <c r="A36" s="18"/>
      <c r="B36" s="40"/>
      <c r="C36" s="40"/>
      <c r="D36" s="23" t="str">
        <f t="shared" si="2"/>
        <v/>
      </c>
      <c r="E36" s="20" t="str">
        <f t="shared" si="3"/>
        <v/>
      </c>
      <c r="F36" s="23" t="str">
        <f t="shared" si="4"/>
        <v/>
      </c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ht="14.25" customHeight="1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2:A3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15.86"/>
    <col customWidth="1" min="3" max="3" width="14.0"/>
    <col customWidth="1" min="4" max="4" width="13.86"/>
    <col customWidth="1" min="5" max="5" width="12.86"/>
    <col customWidth="1" min="6" max="6" width="14.14"/>
    <col customWidth="1" min="7" max="26" width="8.71"/>
  </cols>
  <sheetData>
    <row r="1" ht="14.25" customHeight="1">
      <c r="A1" s="1"/>
      <c r="B1" s="2" t="s">
        <v>0</v>
      </c>
      <c r="C1" s="3" t="s">
        <v>1</v>
      </c>
      <c r="D1" s="2">
        <v>2025.0</v>
      </c>
      <c r="E1" s="4"/>
      <c r="F1" s="4"/>
    </row>
    <row r="2" ht="14.25" customHeight="1">
      <c r="A2" s="41" t="s">
        <v>22</v>
      </c>
      <c r="B2" s="6" t="s">
        <v>3</v>
      </c>
      <c r="C2" s="6" t="s">
        <v>4</v>
      </c>
      <c r="D2" s="6" t="s">
        <v>5</v>
      </c>
      <c r="E2" s="7" t="s">
        <v>6</v>
      </c>
      <c r="F2" s="7"/>
    </row>
    <row r="3" ht="14.25" customHeight="1">
      <c r="A3" s="8"/>
      <c r="B3" s="19">
        <v>0.4583333333333333</v>
      </c>
      <c r="C3" s="19">
        <v>0.875</v>
      </c>
      <c r="D3" s="10"/>
      <c r="E3" s="11">
        <f t="shared" ref="E3:F3" si="1">SUM(E6:E36)</f>
        <v>0.08680555556</v>
      </c>
      <c r="F3" s="11">
        <f t="shared" si="1"/>
        <v>0.07569444444</v>
      </c>
    </row>
    <row r="4" ht="14.25" customHeight="1">
      <c r="A4" s="12" t="s">
        <v>7</v>
      </c>
      <c r="B4" s="13"/>
      <c r="C4" s="14"/>
      <c r="D4" s="14"/>
      <c r="E4" s="13"/>
      <c r="F4" s="14"/>
      <c r="H4" s="15">
        <f>E3-F3</f>
        <v>0.01111111111</v>
      </c>
    </row>
    <row r="5" ht="14.25" customHeight="1">
      <c r="A5" s="16" t="s">
        <v>8</v>
      </c>
      <c r="B5" s="17" t="s">
        <v>9</v>
      </c>
      <c r="C5" s="17" t="s">
        <v>10</v>
      </c>
      <c r="D5" s="17" t="s">
        <v>11</v>
      </c>
      <c r="E5" s="17" t="s">
        <v>6</v>
      </c>
      <c r="F5" s="17" t="s">
        <v>12</v>
      </c>
    </row>
    <row r="6" ht="14.25" customHeight="1">
      <c r="A6" s="18">
        <v>45901.0</v>
      </c>
      <c r="B6" s="19">
        <v>0.4479166666666667</v>
      </c>
      <c r="C6" s="19">
        <v>0.875</v>
      </c>
      <c r="D6" s="20">
        <f t="shared" ref="D6:D36" si="2">if(isblank(B6),"", mod((C6-B6),1))</f>
        <v>0.4270833333</v>
      </c>
      <c r="E6" s="20" t="str">
        <f t="shared" ref="E6:E36" si="3">IF(C6&gt;$C$3,C6-$C$3,"")</f>
        <v/>
      </c>
      <c r="F6" s="20">
        <f t="shared" ref="F6:F36" si="4">if(isblank(B6),"",IF($B$3&gt;B6,0,(B6-$B$3)))</f>
        <v>0</v>
      </c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ht="14.25" customHeight="1">
      <c r="A7" s="18">
        <v>45902.0</v>
      </c>
      <c r="B7" s="19">
        <v>0.4479166666666667</v>
      </c>
      <c r="C7" s="19">
        <v>0.875</v>
      </c>
      <c r="D7" s="20">
        <f t="shared" si="2"/>
        <v>0.4270833333</v>
      </c>
      <c r="E7" s="20" t="str">
        <f t="shared" si="3"/>
        <v/>
      </c>
      <c r="F7" s="20">
        <f t="shared" si="4"/>
        <v>0</v>
      </c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ht="14.25" customHeight="1">
      <c r="A8" s="18">
        <v>45903.0</v>
      </c>
      <c r="B8" s="22">
        <v>0.4465277777777778</v>
      </c>
      <c r="C8" s="22">
        <v>0.8784722222222222</v>
      </c>
      <c r="D8" s="23">
        <f t="shared" si="2"/>
        <v>0.4319444444</v>
      </c>
      <c r="E8" s="23">
        <f t="shared" si="3"/>
        <v>0.003472222222</v>
      </c>
      <c r="F8" s="23">
        <f t="shared" si="4"/>
        <v>0</v>
      </c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 ht="14.25" customHeight="1">
      <c r="A9" s="29">
        <v>45904.0</v>
      </c>
      <c r="B9" s="60"/>
      <c r="C9" s="60"/>
      <c r="D9" s="32" t="str">
        <f t="shared" si="2"/>
        <v/>
      </c>
      <c r="E9" s="32" t="str">
        <f t="shared" si="3"/>
        <v/>
      </c>
      <c r="F9" s="32" t="str">
        <f t="shared" si="4"/>
        <v/>
      </c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 ht="14.25" customHeight="1">
      <c r="A10" s="18">
        <v>45905.0</v>
      </c>
      <c r="B10" s="36">
        <v>0.4652777777777778</v>
      </c>
      <c r="C10" s="36">
        <v>0.8958333333333334</v>
      </c>
      <c r="D10" s="37">
        <f t="shared" si="2"/>
        <v>0.4305555556</v>
      </c>
      <c r="E10" s="20">
        <f t="shared" si="3"/>
        <v>0.02083333333</v>
      </c>
      <c r="F10" s="23">
        <f t="shared" si="4"/>
        <v>0.006944444444</v>
      </c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 ht="14.25" customHeight="1">
      <c r="A11" s="29">
        <v>45906.0</v>
      </c>
      <c r="B11" s="30">
        <v>0.44930555555555557</v>
      </c>
      <c r="C11" s="30">
        <v>0.875</v>
      </c>
      <c r="D11" s="31">
        <f t="shared" si="2"/>
        <v>0.4256944444</v>
      </c>
      <c r="E11" s="32" t="str">
        <f t="shared" si="3"/>
        <v/>
      </c>
      <c r="F11" s="32">
        <f t="shared" si="4"/>
        <v>0</v>
      </c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ht="14.25" customHeight="1">
      <c r="A12" s="18">
        <v>45907.0</v>
      </c>
      <c r="B12" s="33">
        <v>0.4534722222222222</v>
      </c>
      <c r="C12" s="33">
        <v>0.875</v>
      </c>
      <c r="D12" s="34">
        <f t="shared" si="2"/>
        <v>0.4215277778</v>
      </c>
      <c r="E12" s="20" t="str">
        <f t="shared" si="3"/>
        <v/>
      </c>
      <c r="F12" s="20">
        <f t="shared" si="4"/>
        <v>0</v>
      </c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 ht="14.25" customHeight="1">
      <c r="A13" s="18">
        <v>45908.0</v>
      </c>
      <c r="B13" s="33">
        <v>0.46319444444444446</v>
      </c>
      <c r="C13" s="33">
        <v>0.875</v>
      </c>
      <c r="D13" s="34">
        <f t="shared" si="2"/>
        <v>0.4118055556</v>
      </c>
      <c r="E13" s="20" t="str">
        <f t="shared" si="3"/>
        <v/>
      </c>
      <c r="F13" s="20">
        <f t="shared" si="4"/>
        <v>0.004861111111</v>
      </c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ht="14.25" customHeight="1">
      <c r="A14" s="18">
        <v>45909.0</v>
      </c>
      <c r="B14" s="33">
        <v>0.4513888888888889</v>
      </c>
      <c r="C14" s="33">
        <v>0.875</v>
      </c>
      <c r="D14" s="34">
        <f t="shared" si="2"/>
        <v>0.4236111111</v>
      </c>
      <c r="E14" s="20" t="str">
        <f t="shared" si="3"/>
        <v/>
      </c>
      <c r="F14" s="20">
        <f t="shared" si="4"/>
        <v>0</v>
      </c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ht="14.25" customHeight="1">
      <c r="A15" s="18">
        <v>45910.0</v>
      </c>
      <c r="B15" s="33">
        <v>0.45625</v>
      </c>
      <c r="C15" s="33">
        <v>0.875</v>
      </c>
      <c r="D15" s="34">
        <f t="shared" si="2"/>
        <v>0.41875</v>
      </c>
      <c r="E15" s="20" t="str">
        <f t="shared" si="3"/>
        <v/>
      </c>
      <c r="F15" s="20">
        <f t="shared" si="4"/>
        <v>0</v>
      </c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ht="14.25" customHeight="1">
      <c r="A16" s="29">
        <v>45911.0</v>
      </c>
      <c r="B16" s="35"/>
      <c r="C16" s="35"/>
      <c r="D16" s="31" t="str">
        <f t="shared" si="2"/>
        <v/>
      </c>
      <c r="E16" s="32" t="str">
        <f t="shared" si="3"/>
        <v/>
      </c>
      <c r="F16" s="32" t="str">
        <f t="shared" si="4"/>
        <v/>
      </c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ht="14.25" customHeight="1">
      <c r="A17" s="18">
        <v>45912.0</v>
      </c>
      <c r="B17" s="33">
        <v>0.45625</v>
      </c>
      <c r="C17" s="33">
        <v>0.8958333333333334</v>
      </c>
      <c r="D17" s="34">
        <f t="shared" si="2"/>
        <v>0.4395833333</v>
      </c>
      <c r="E17" s="20">
        <f t="shared" si="3"/>
        <v>0.02083333333</v>
      </c>
      <c r="F17" s="20">
        <f t="shared" si="4"/>
        <v>0</v>
      </c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ht="14.25" customHeight="1">
      <c r="A18" s="18">
        <v>45913.0</v>
      </c>
      <c r="B18" s="33">
        <v>0.4270833333333333</v>
      </c>
      <c r="C18" s="33">
        <v>0.8652777777777778</v>
      </c>
      <c r="D18" s="34">
        <f t="shared" si="2"/>
        <v>0.4381944444</v>
      </c>
      <c r="E18" s="20" t="str">
        <f t="shared" si="3"/>
        <v/>
      </c>
      <c r="F18" s="20">
        <f t="shared" si="4"/>
        <v>0</v>
      </c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ht="14.25" customHeight="1">
      <c r="A19" s="18">
        <v>45914.0</v>
      </c>
      <c r="B19" s="36">
        <v>0.45555555555555555</v>
      </c>
      <c r="C19" s="33">
        <v>0.875</v>
      </c>
      <c r="D19" s="37">
        <f t="shared" si="2"/>
        <v>0.4194444444</v>
      </c>
      <c r="E19" s="23" t="str">
        <f t="shared" si="3"/>
        <v/>
      </c>
      <c r="F19" s="23">
        <f t="shared" si="4"/>
        <v>0</v>
      </c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ht="14.25" customHeight="1">
      <c r="A20" s="18">
        <v>45915.0</v>
      </c>
      <c r="B20" s="33">
        <v>0.4465277777777778</v>
      </c>
      <c r="C20" s="33">
        <v>0.875</v>
      </c>
      <c r="D20" s="34">
        <f t="shared" si="2"/>
        <v>0.4284722222</v>
      </c>
      <c r="E20" s="20" t="str">
        <f t="shared" si="3"/>
        <v/>
      </c>
      <c r="F20" s="20">
        <f t="shared" si="4"/>
        <v>0</v>
      </c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ht="14.25" customHeight="1">
      <c r="A21" s="18">
        <v>45916.0</v>
      </c>
      <c r="B21" s="33">
        <v>0.45208333333333334</v>
      </c>
      <c r="C21" s="33">
        <v>0.875</v>
      </c>
      <c r="D21" s="20">
        <f t="shared" si="2"/>
        <v>0.4229166667</v>
      </c>
      <c r="E21" s="20" t="str">
        <f t="shared" si="3"/>
        <v/>
      </c>
      <c r="F21" s="20">
        <f t="shared" si="4"/>
        <v>0</v>
      </c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ht="14.25" customHeight="1">
      <c r="A22" s="18">
        <v>45917.0</v>
      </c>
      <c r="B22" s="33">
        <v>0.45</v>
      </c>
      <c r="C22" s="33">
        <v>0.875</v>
      </c>
      <c r="D22" s="23">
        <f t="shared" si="2"/>
        <v>0.425</v>
      </c>
      <c r="E22" s="23" t="str">
        <f t="shared" si="3"/>
        <v/>
      </c>
      <c r="F22" s="23">
        <f t="shared" si="4"/>
        <v>0</v>
      </c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ht="14.25" customHeight="1">
      <c r="A23" s="29">
        <v>45918.0</v>
      </c>
      <c r="B23" s="35"/>
      <c r="C23" s="35"/>
      <c r="D23" s="32" t="str">
        <f t="shared" si="2"/>
        <v/>
      </c>
      <c r="E23" s="32" t="str">
        <f t="shared" si="3"/>
        <v/>
      </c>
      <c r="F23" s="32" t="str">
        <f t="shared" si="4"/>
        <v/>
      </c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ht="14.25" customHeight="1">
      <c r="A24" s="18">
        <v>45919.0</v>
      </c>
      <c r="B24" s="33">
        <v>0.45</v>
      </c>
      <c r="C24" s="33">
        <v>0.8958333333333334</v>
      </c>
      <c r="D24" s="23">
        <f t="shared" si="2"/>
        <v>0.4458333333</v>
      </c>
      <c r="E24" s="20">
        <f t="shared" si="3"/>
        <v>0.02083333333</v>
      </c>
      <c r="F24" s="23">
        <f t="shared" si="4"/>
        <v>0</v>
      </c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ht="14.25" customHeight="1">
      <c r="A25" s="18">
        <v>45920.0</v>
      </c>
      <c r="B25" s="33">
        <v>0.4479166666666667</v>
      </c>
      <c r="C25" s="33">
        <v>0.875</v>
      </c>
      <c r="D25" s="20">
        <f t="shared" si="2"/>
        <v>0.4270833333</v>
      </c>
      <c r="E25" s="20" t="str">
        <f t="shared" si="3"/>
        <v/>
      </c>
      <c r="F25" s="20">
        <f t="shared" si="4"/>
        <v>0</v>
      </c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ht="14.25" customHeight="1">
      <c r="A26" s="18">
        <v>45921.0</v>
      </c>
      <c r="B26" s="33">
        <v>0.4513888888888889</v>
      </c>
      <c r="C26" s="33">
        <v>0.875</v>
      </c>
      <c r="D26" s="23">
        <f t="shared" si="2"/>
        <v>0.4236111111</v>
      </c>
      <c r="E26" s="23" t="str">
        <f t="shared" si="3"/>
        <v/>
      </c>
      <c r="F26" s="23">
        <f t="shared" si="4"/>
        <v>0</v>
      </c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ht="14.25" customHeight="1">
      <c r="A27" s="18">
        <v>45922.0</v>
      </c>
      <c r="B27" s="33">
        <v>0.4513888888888889</v>
      </c>
      <c r="C27" s="33">
        <v>0.875</v>
      </c>
      <c r="D27" s="20">
        <f t="shared" si="2"/>
        <v>0.4236111111</v>
      </c>
      <c r="E27" s="20" t="str">
        <f t="shared" si="3"/>
        <v/>
      </c>
      <c r="F27" s="20">
        <f t="shared" si="4"/>
        <v>0</v>
      </c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ht="14.25" customHeight="1">
      <c r="A28" s="18">
        <v>45923.0</v>
      </c>
      <c r="B28" s="33">
        <v>0.4444444444444444</v>
      </c>
      <c r="C28" s="33">
        <v>0.875</v>
      </c>
      <c r="D28" s="20">
        <f t="shared" si="2"/>
        <v>0.4305555556</v>
      </c>
      <c r="E28" s="20" t="str">
        <f t="shared" si="3"/>
        <v/>
      </c>
      <c r="F28" s="20">
        <f t="shared" si="4"/>
        <v>0</v>
      </c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ht="14.25" customHeight="1">
      <c r="A29" s="18">
        <v>45924.0</v>
      </c>
      <c r="B29" s="33">
        <v>0.4479166666666667</v>
      </c>
      <c r="C29" s="33">
        <v>0.875</v>
      </c>
      <c r="D29" s="23">
        <f t="shared" si="2"/>
        <v>0.4270833333</v>
      </c>
      <c r="E29" s="23" t="str">
        <f t="shared" si="3"/>
        <v/>
      </c>
      <c r="F29" s="23">
        <f t="shared" si="4"/>
        <v>0</v>
      </c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 ht="14.25" customHeight="1">
      <c r="A30" s="29">
        <v>45925.0</v>
      </c>
      <c r="B30" s="30">
        <v>0.5222222222222223</v>
      </c>
      <c r="C30" s="30">
        <v>0.875</v>
      </c>
      <c r="D30" s="32">
        <f t="shared" si="2"/>
        <v>0.3527777778</v>
      </c>
      <c r="E30" s="32" t="str">
        <f t="shared" si="3"/>
        <v/>
      </c>
      <c r="F30" s="32">
        <f t="shared" si="4"/>
        <v>0.06388888889</v>
      </c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 ht="14.25" customHeight="1">
      <c r="A31" s="18">
        <v>45926.0</v>
      </c>
      <c r="B31" s="33">
        <v>0.4527777777777778</v>
      </c>
      <c r="C31" s="33">
        <v>0.8958333333333334</v>
      </c>
      <c r="D31" s="23">
        <f t="shared" si="2"/>
        <v>0.4430555556</v>
      </c>
      <c r="E31" s="23">
        <f t="shared" si="3"/>
        <v>0.02083333333</v>
      </c>
      <c r="F31" s="23">
        <f t="shared" si="4"/>
        <v>0</v>
      </c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 ht="14.25" customHeight="1">
      <c r="A32" s="18">
        <v>45927.0</v>
      </c>
      <c r="B32" s="33">
        <v>0.4479166666666667</v>
      </c>
      <c r="C32" s="33">
        <v>0.875</v>
      </c>
      <c r="D32" s="23">
        <f t="shared" si="2"/>
        <v>0.4270833333</v>
      </c>
      <c r="E32" s="20" t="str">
        <f t="shared" si="3"/>
        <v/>
      </c>
      <c r="F32" s="23">
        <f t="shared" si="4"/>
        <v>0</v>
      </c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 ht="14.25" customHeight="1">
      <c r="A33" s="18">
        <v>45928.0</v>
      </c>
      <c r="B33" s="33">
        <v>0.4527777777777778</v>
      </c>
      <c r="C33" s="33">
        <v>0.875</v>
      </c>
      <c r="D33" s="23">
        <f t="shared" si="2"/>
        <v>0.4222222222</v>
      </c>
      <c r="E33" s="20" t="str">
        <f t="shared" si="3"/>
        <v/>
      </c>
      <c r="F33" s="23">
        <f t="shared" si="4"/>
        <v>0</v>
      </c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ht="14.25" customHeight="1">
      <c r="A34" s="18">
        <v>45929.0</v>
      </c>
      <c r="B34" s="33">
        <v>0.44930555555555557</v>
      </c>
      <c r="C34" s="33">
        <v>0.875</v>
      </c>
      <c r="D34" s="20">
        <f t="shared" si="2"/>
        <v>0.4256944444</v>
      </c>
      <c r="E34" s="20" t="str">
        <f t="shared" si="3"/>
        <v/>
      </c>
      <c r="F34" s="20">
        <f t="shared" si="4"/>
        <v>0</v>
      </c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ht="14.25" customHeight="1">
      <c r="A35" s="18">
        <v>45930.0</v>
      </c>
      <c r="B35" s="33">
        <v>0.45069444444444445</v>
      </c>
      <c r="C35" s="33">
        <v>0.875</v>
      </c>
      <c r="D35" s="23">
        <f t="shared" si="2"/>
        <v>0.4243055556</v>
      </c>
      <c r="E35" s="23" t="str">
        <f t="shared" si="3"/>
        <v/>
      </c>
      <c r="F35" s="23">
        <f t="shared" si="4"/>
        <v>0</v>
      </c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ht="14.25" customHeight="1">
      <c r="A36" s="18"/>
      <c r="B36" s="40"/>
      <c r="C36" s="40"/>
      <c r="D36" s="23" t="str">
        <f t="shared" si="2"/>
        <v/>
      </c>
      <c r="E36" s="20" t="str">
        <f t="shared" si="3"/>
        <v/>
      </c>
      <c r="F36" s="23" t="str">
        <f t="shared" si="4"/>
        <v/>
      </c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ht="14.25" customHeight="1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2:A3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15.86"/>
    <col customWidth="1" min="3" max="3" width="14.0"/>
    <col customWidth="1" min="4" max="4" width="13.86"/>
    <col customWidth="1" min="5" max="5" width="12.86"/>
    <col customWidth="1" min="6" max="6" width="14.14"/>
    <col customWidth="1" min="7" max="26" width="8.71"/>
  </cols>
  <sheetData>
    <row r="1" ht="14.25" customHeight="1">
      <c r="A1" s="1"/>
      <c r="B1" s="2" t="s">
        <v>0</v>
      </c>
      <c r="C1" s="3" t="s">
        <v>1</v>
      </c>
      <c r="D1" s="2">
        <v>2025.0</v>
      </c>
      <c r="E1" s="4"/>
      <c r="F1" s="4"/>
    </row>
    <row r="2" ht="14.25" customHeight="1">
      <c r="A2" s="41" t="s">
        <v>23</v>
      </c>
      <c r="B2" s="6" t="s">
        <v>3</v>
      </c>
      <c r="C2" s="6" t="s">
        <v>4</v>
      </c>
      <c r="D2" s="6" t="s">
        <v>5</v>
      </c>
      <c r="E2" s="7" t="s">
        <v>6</v>
      </c>
      <c r="F2" s="7"/>
    </row>
    <row r="3" ht="14.25" customHeight="1">
      <c r="A3" s="8"/>
      <c r="B3" s="9">
        <v>0.4375</v>
      </c>
      <c r="C3" s="9">
        <v>0.8541666666666666</v>
      </c>
      <c r="D3" s="10"/>
      <c r="E3" s="11">
        <f t="shared" ref="E3:F3" si="1">SUM(E6:E36)</f>
        <v>0.1819444444</v>
      </c>
      <c r="F3" s="11">
        <f t="shared" si="1"/>
        <v>0.2</v>
      </c>
    </row>
    <row r="4" ht="14.25" customHeight="1">
      <c r="A4" s="12" t="s">
        <v>7</v>
      </c>
      <c r="B4" s="13"/>
      <c r="C4" s="14"/>
      <c r="D4" s="14"/>
      <c r="E4" s="13"/>
      <c r="F4" s="14"/>
    </row>
    <row r="5" ht="14.25" customHeight="1">
      <c r="A5" s="16" t="s">
        <v>8</v>
      </c>
      <c r="B5" s="17" t="s">
        <v>9</v>
      </c>
      <c r="C5" s="17" t="s">
        <v>10</v>
      </c>
      <c r="D5" s="17" t="s">
        <v>11</v>
      </c>
      <c r="E5" s="17" t="s">
        <v>6</v>
      </c>
      <c r="F5" s="17" t="s">
        <v>12</v>
      </c>
      <c r="H5" s="15">
        <f>E3-F3</f>
        <v>-0.01805555556</v>
      </c>
      <c r="I5" s="61" t="s">
        <v>24</v>
      </c>
    </row>
    <row r="6" ht="14.25" customHeight="1">
      <c r="A6" s="18">
        <v>45901.0</v>
      </c>
      <c r="B6" s="19">
        <v>0.44513888888888886</v>
      </c>
      <c r="C6" s="19">
        <v>0.8541666666666666</v>
      </c>
      <c r="D6" s="20">
        <f t="shared" ref="D6:D36" si="2">if(isblank(B6),"", mod((C6-B6),1))</f>
        <v>0.4090277778</v>
      </c>
      <c r="E6" s="20" t="str">
        <f t="shared" ref="E6:E36" si="3">IF(C6&gt;$C$3,C6-$C$3,"")</f>
        <v/>
      </c>
      <c r="F6" s="20">
        <f t="shared" ref="F6:F36" si="4">if(isblank(B6),"",IF($B$3&gt;B6,0,(B6-$B$3)))</f>
        <v>0.007638888889</v>
      </c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ht="14.25" customHeight="1">
      <c r="A7" s="29">
        <v>45902.0</v>
      </c>
      <c r="B7" s="60"/>
      <c r="C7" s="60"/>
      <c r="D7" s="32" t="str">
        <f t="shared" si="2"/>
        <v/>
      </c>
      <c r="E7" s="32" t="str">
        <f t="shared" si="3"/>
        <v/>
      </c>
      <c r="F7" s="32" t="str">
        <f t="shared" si="4"/>
        <v/>
      </c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ht="14.25" customHeight="1">
      <c r="A8" s="18">
        <v>45903.0</v>
      </c>
      <c r="B8" s="22">
        <v>0.4236111111111111</v>
      </c>
      <c r="C8" s="22">
        <v>0.8548611111111111</v>
      </c>
      <c r="D8" s="23">
        <f t="shared" si="2"/>
        <v>0.43125</v>
      </c>
      <c r="E8" s="23">
        <f t="shared" si="3"/>
        <v>0.0006944444444</v>
      </c>
      <c r="F8" s="23">
        <f t="shared" si="4"/>
        <v>0</v>
      </c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 ht="14.25" customHeight="1">
      <c r="A9" s="18">
        <v>45904.0</v>
      </c>
      <c r="B9" s="19">
        <v>0.43680555555555556</v>
      </c>
      <c r="C9" s="19">
        <v>0.8541666666666666</v>
      </c>
      <c r="D9" s="20">
        <f t="shared" si="2"/>
        <v>0.4173611111</v>
      </c>
      <c r="E9" s="20" t="str">
        <f t="shared" si="3"/>
        <v/>
      </c>
      <c r="F9" s="20">
        <f t="shared" si="4"/>
        <v>0</v>
      </c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 ht="14.25" customHeight="1">
      <c r="A10" s="18">
        <v>45905.0</v>
      </c>
      <c r="B10" s="36">
        <v>0.42777777777777776</v>
      </c>
      <c r="C10" s="36">
        <v>0.875</v>
      </c>
      <c r="D10" s="37">
        <f t="shared" si="2"/>
        <v>0.4472222222</v>
      </c>
      <c r="E10" s="20">
        <f t="shared" si="3"/>
        <v>0.02083333333</v>
      </c>
      <c r="F10" s="23">
        <f t="shared" si="4"/>
        <v>0</v>
      </c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 ht="14.25" customHeight="1">
      <c r="A11" s="29">
        <v>45906.0</v>
      </c>
      <c r="B11" s="30">
        <v>0.4201388888888889</v>
      </c>
      <c r="C11" s="30">
        <v>0.875</v>
      </c>
      <c r="D11" s="31">
        <f t="shared" si="2"/>
        <v>0.4548611111</v>
      </c>
      <c r="E11" s="32">
        <f t="shared" si="3"/>
        <v>0.02083333333</v>
      </c>
      <c r="F11" s="32">
        <f t="shared" si="4"/>
        <v>0</v>
      </c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ht="14.25" customHeight="1">
      <c r="A12" s="18">
        <v>45907.0</v>
      </c>
      <c r="B12" s="33">
        <v>0.43680555555555556</v>
      </c>
      <c r="C12" s="33">
        <v>0.8541666666666666</v>
      </c>
      <c r="D12" s="34">
        <f t="shared" si="2"/>
        <v>0.4173611111</v>
      </c>
      <c r="E12" s="20" t="str">
        <f t="shared" si="3"/>
        <v/>
      </c>
      <c r="F12" s="20">
        <f t="shared" si="4"/>
        <v>0</v>
      </c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 ht="14.25" customHeight="1">
      <c r="A13" s="18">
        <v>45908.0</v>
      </c>
      <c r="B13" s="33">
        <v>0.42916666666666664</v>
      </c>
      <c r="C13" s="33">
        <v>0.8590277777777777</v>
      </c>
      <c r="D13" s="34">
        <f t="shared" si="2"/>
        <v>0.4298611111</v>
      </c>
      <c r="E13" s="20">
        <f t="shared" si="3"/>
        <v>0.004861111111</v>
      </c>
      <c r="F13" s="20">
        <f t="shared" si="4"/>
        <v>0</v>
      </c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ht="14.25" customHeight="1">
      <c r="A14" s="29">
        <v>45909.0</v>
      </c>
      <c r="B14" s="35"/>
      <c r="C14" s="35"/>
      <c r="D14" s="31" t="str">
        <f t="shared" si="2"/>
        <v/>
      </c>
      <c r="E14" s="32" t="str">
        <f t="shared" si="3"/>
        <v/>
      </c>
      <c r="F14" s="32" t="str">
        <f t="shared" si="4"/>
        <v/>
      </c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ht="14.25" customHeight="1">
      <c r="A15" s="18">
        <v>45910.0</v>
      </c>
      <c r="B15" s="33">
        <v>0.4388888888888889</v>
      </c>
      <c r="C15" s="33">
        <v>0.8555555555555555</v>
      </c>
      <c r="D15" s="34">
        <f t="shared" si="2"/>
        <v>0.4166666667</v>
      </c>
      <c r="E15" s="20">
        <f t="shared" si="3"/>
        <v>0.001388888889</v>
      </c>
      <c r="F15" s="20">
        <f t="shared" si="4"/>
        <v>0.001388888889</v>
      </c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ht="14.25" customHeight="1">
      <c r="A16" s="18">
        <v>45911.0</v>
      </c>
      <c r="B16" s="33">
        <v>0.4222222222222222</v>
      </c>
      <c r="C16" s="33">
        <v>0.8541666666666666</v>
      </c>
      <c r="D16" s="34">
        <f t="shared" si="2"/>
        <v>0.4319444444</v>
      </c>
      <c r="E16" s="20" t="str">
        <f t="shared" si="3"/>
        <v/>
      </c>
      <c r="F16" s="20">
        <f t="shared" si="4"/>
        <v>0</v>
      </c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ht="14.25" customHeight="1">
      <c r="A17" s="18">
        <v>45912.0</v>
      </c>
      <c r="B17" s="33">
        <v>0.4270833333333333</v>
      </c>
      <c r="C17" s="33">
        <v>0.875</v>
      </c>
      <c r="D17" s="34">
        <f t="shared" si="2"/>
        <v>0.4479166667</v>
      </c>
      <c r="E17" s="20">
        <f t="shared" si="3"/>
        <v>0.02083333333</v>
      </c>
      <c r="F17" s="20">
        <f t="shared" si="4"/>
        <v>0</v>
      </c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ht="14.25" customHeight="1">
      <c r="A18" s="18">
        <v>45913.0</v>
      </c>
      <c r="B18" s="33">
        <v>0.41944444444444445</v>
      </c>
      <c r="C18" s="33">
        <v>0.875</v>
      </c>
      <c r="D18" s="34">
        <f t="shared" si="2"/>
        <v>0.4555555556</v>
      </c>
      <c r="E18" s="20">
        <f t="shared" si="3"/>
        <v>0.02083333333</v>
      </c>
      <c r="F18" s="20">
        <f t="shared" si="4"/>
        <v>0</v>
      </c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ht="14.25" customHeight="1">
      <c r="A19" s="18">
        <v>45914.0</v>
      </c>
      <c r="B19" s="36">
        <v>0.44305555555555554</v>
      </c>
      <c r="C19" s="33">
        <v>0.8541666666666666</v>
      </c>
      <c r="D19" s="37">
        <f t="shared" si="2"/>
        <v>0.4111111111</v>
      </c>
      <c r="E19" s="23" t="str">
        <f t="shared" si="3"/>
        <v/>
      </c>
      <c r="F19" s="23">
        <f t="shared" si="4"/>
        <v>0.005555555556</v>
      </c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ht="14.25" customHeight="1">
      <c r="A20" s="18">
        <v>45915.0</v>
      </c>
      <c r="B20" s="33">
        <v>0.4361111111111111</v>
      </c>
      <c r="C20" s="33">
        <v>0.8541666666666666</v>
      </c>
      <c r="D20" s="34">
        <f t="shared" si="2"/>
        <v>0.4180555556</v>
      </c>
      <c r="E20" s="20" t="str">
        <f t="shared" si="3"/>
        <v/>
      </c>
      <c r="F20" s="20">
        <f t="shared" si="4"/>
        <v>0</v>
      </c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ht="14.25" customHeight="1">
      <c r="A21" s="29">
        <v>45916.0</v>
      </c>
      <c r="B21" s="35"/>
      <c r="C21" s="35"/>
      <c r="D21" s="32" t="str">
        <f t="shared" si="2"/>
        <v/>
      </c>
      <c r="E21" s="32" t="str">
        <f t="shared" si="3"/>
        <v/>
      </c>
      <c r="F21" s="32" t="str">
        <f t="shared" si="4"/>
        <v/>
      </c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ht="14.25" customHeight="1">
      <c r="A22" s="18">
        <v>45917.0</v>
      </c>
      <c r="B22" s="33">
        <v>0.4270833333333333</v>
      </c>
      <c r="C22" s="33">
        <v>0.8618055555555556</v>
      </c>
      <c r="D22" s="23">
        <f t="shared" si="2"/>
        <v>0.4347222222</v>
      </c>
      <c r="E22" s="23">
        <f t="shared" si="3"/>
        <v>0.007638888889</v>
      </c>
      <c r="F22" s="23">
        <f t="shared" si="4"/>
        <v>0</v>
      </c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ht="14.25" customHeight="1">
      <c r="A23" s="18">
        <v>45918.0</v>
      </c>
      <c r="B23" s="33">
        <v>0.4326388888888889</v>
      </c>
      <c r="C23" s="33">
        <v>0.8541666666666666</v>
      </c>
      <c r="D23" s="20">
        <f t="shared" si="2"/>
        <v>0.4215277778</v>
      </c>
      <c r="E23" s="20" t="str">
        <f t="shared" si="3"/>
        <v/>
      </c>
      <c r="F23" s="20">
        <f t="shared" si="4"/>
        <v>0</v>
      </c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ht="14.25" customHeight="1">
      <c r="A24" s="18">
        <v>45919.0</v>
      </c>
      <c r="B24" s="33">
        <v>0.6180555555555556</v>
      </c>
      <c r="C24" s="33">
        <v>0.875</v>
      </c>
      <c r="D24" s="23">
        <f t="shared" si="2"/>
        <v>0.2569444444</v>
      </c>
      <c r="E24" s="20">
        <f t="shared" si="3"/>
        <v>0.02083333333</v>
      </c>
      <c r="F24" s="23">
        <f t="shared" si="4"/>
        <v>0.1805555556</v>
      </c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ht="14.25" customHeight="1">
      <c r="A25" s="18">
        <v>45920.0</v>
      </c>
      <c r="B25" s="33">
        <v>0.4270833333333333</v>
      </c>
      <c r="C25" s="33">
        <v>0.875</v>
      </c>
      <c r="D25" s="20">
        <f t="shared" si="2"/>
        <v>0.4479166667</v>
      </c>
      <c r="E25" s="20">
        <f t="shared" si="3"/>
        <v>0.02083333333</v>
      </c>
      <c r="F25" s="20">
        <f t="shared" si="4"/>
        <v>0</v>
      </c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ht="14.25" customHeight="1">
      <c r="A26" s="18">
        <v>45921.0</v>
      </c>
      <c r="B26" s="33">
        <v>0.4305555555555556</v>
      </c>
      <c r="C26" s="33">
        <v>0.8541666666666666</v>
      </c>
      <c r="D26" s="23">
        <f t="shared" si="2"/>
        <v>0.4236111111</v>
      </c>
      <c r="E26" s="23" t="str">
        <f t="shared" si="3"/>
        <v/>
      </c>
      <c r="F26" s="23">
        <f t="shared" si="4"/>
        <v>0</v>
      </c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ht="14.25" customHeight="1">
      <c r="A27" s="18">
        <v>45922.0</v>
      </c>
      <c r="B27" s="33">
        <v>0.4423611111111111</v>
      </c>
      <c r="C27" s="33">
        <v>0.8541666666666666</v>
      </c>
      <c r="D27" s="20">
        <f t="shared" si="2"/>
        <v>0.4118055556</v>
      </c>
      <c r="E27" s="20" t="str">
        <f t="shared" si="3"/>
        <v/>
      </c>
      <c r="F27" s="20">
        <f t="shared" si="4"/>
        <v>0.004861111111</v>
      </c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ht="14.25" customHeight="1">
      <c r="A28" s="29">
        <v>45923.0</v>
      </c>
      <c r="B28" s="35"/>
      <c r="C28" s="35"/>
      <c r="D28" s="32" t="str">
        <f t="shared" si="2"/>
        <v/>
      </c>
      <c r="E28" s="32" t="str">
        <f t="shared" si="3"/>
        <v/>
      </c>
      <c r="F28" s="32" t="str">
        <f t="shared" si="4"/>
        <v/>
      </c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ht="14.25" customHeight="1">
      <c r="A29" s="18">
        <v>45924.0</v>
      </c>
      <c r="B29" s="33">
        <v>0.43472222222222223</v>
      </c>
      <c r="C29" s="33">
        <v>0.8541666666666666</v>
      </c>
      <c r="D29" s="23">
        <f t="shared" si="2"/>
        <v>0.4194444444</v>
      </c>
      <c r="E29" s="23" t="str">
        <f t="shared" si="3"/>
        <v/>
      </c>
      <c r="F29" s="23">
        <f t="shared" si="4"/>
        <v>0</v>
      </c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 ht="14.25" customHeight="1">
      <c r="A30" s="18">
        <v>45925.0</v>
      </c>
      <c r="B30" s="33">
        <v>0.4263888888888889</v>
      </c>
      <c r="C30" s="33">
        <v>0.8548611111111111</v>
      </c>
      <c r="D30" s="20">
        <f t="shared" si="2"/>
        <v>0.4284722222</v>
      </c>
      <c r="E30" s="20">
        <f t="shared" si="3"/>
        <v>0.0006944444444</v>
      </c>
      <c r="F30" s="20">
        <f t="shared" si="4"/>
        <v>0</v>
      </c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 ht="14.25" customHeight="1">
      <c r="A31" s="18">
        <v>45926.0</v>
      </c>
      <c r="B31" s="33">
        <v>0.42916666666666664</v>
      </c>
      <c r="C31" s="33">
        <v>0.875</v>
      </c>
      <c r="D31" s="23">
        <f t="shared" si="2"/>
        <v>0.4458333333</v>
      </c>
      <c r="E31" s="23">
        <f t="shared" si="3"/>
        <v>0.02083333333</v>
      </c>
      <c r="F31" s="23">
        <f t="shared" si="4"/>
        <v>0</v>
      </c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 ht="14.25" customHeight="1">
      <c r="A32" s="18">
        <v>45927.0</v>
      </c>
      <c r="B32" s="33">
        <v>0.4284722222222222</v>
      </c>
      <c r="C32" s="33">
        <v>0.875</v>
      </c>
      <c r="D32" s="23">
        <f t="shared" si="2"/>
        <v>0.4465277778</v>
      </c>
      <c r="E32" s="20">
        <f t="shared" si="3"/>
        <v>0.02083333333</v>
      </c>
      <c r="F32" s="23">
        <f t="shared" si="4"/>
        <v>0</v>
      </c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 ht="14.25" customHeight="1">
      <c r="A33" s="18">
        <v>45928.0</v>
      </c>
      <c r="B33" s="33">
        <v>0.4305555555555556</v>
      </c>
      <c r="C33" s="33">
        <v>0.8541666666666666</v>
      </c>
      <c r="D33" s="23">
        <f t="shared" si="2"/>
        <v>0.4236111111</v>
      </c>
      <c r="E33" s="20" t="str">
        <f t="shared" si="3"/>
        <v/>
      </c>
      <c r="F33" s="23">
        <f t="shared" si="4"/>
        <v>0</v>
      </c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ht="14.25" customHeight="1">
      <c r="A34" s="18">
        <v>45929.0</v>
      </c>
      <c r="B34" s="33">
        <v>0.4284722222222222</v>
      </c>
      <c r="C34" s="33">
        <v>0.8541666666666666</v>
      </c>
      <c r="D34" s="20">
        <f t="shared" si="2"/>
        <v>0.4256944444</v>
      </c>
      <c r="E34" s="20" t="str">
        <f t="shared" si="3"/>
        <v/>
      </c>
      <c r="F34" s="20">
        <f t="shared" si="4"/>
        <v>0</v>
      </c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ht="14.25" customHeight="1">
      <c r="A35" s="29">
        <v>45930.0</v>
      </c>
      <c r="B35" s="35"/>
      <c r="C35" s="35"/>
      <c r="D35" s="38" t="str">
        <f t="shared" si="2"/>
        <v/>
      </c>
      <c r="E35" s="38" t="str">
        <f t="shared" si="3"/>
        <v/>
      </c>
      <c r="F35" s="38" t="str">
        <f t="shared" si="4"/>
        <v/>
      </c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ht="14.25" customHeight="1">
      <c r="A36" s="18"/>
      <c r="B36" s="40"/>
      <c r="C36" s="40"/>
      <c r="D36" s="23" t="str">
        <f t="shared" si="2"/>
        <v/>
      </c>
      <c r="E36" s="20" t="str">
        <f t="shared" si="3"/>
        <v/>
      </c>
      <c r="F36" s="23" t="str">
        <f t="shared" si="4"/>
        <v/>
      </c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ht="14.25" customHeight="1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2:A3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15.86"/>
    <col customWidth="1" min="3" max="3" width="14.0"/>
    <col customWidth="1" min="4" max="4" width="13.86"/>
    <col customWidth="1" min="5" max="5" width="12.86"/>
    <col customWidth="1" min="6" max="6" width="14.14"/>
    <col customWidth="1" min="7" max="26" width="8.71"/>
  </cols>
  <sheetData>
    <row r="1" ht="14.25" customHeight="1">
      <c r="A1" s="1"/>
      <c r="B1" s="2" t="s">
        <v>0</v>
      </c>
      <c r="C1" s="3" t="s">
        <v>1</v>
      </c>
      <c r="D1" s="2">
        <v>2025.0</v>
      </c>
      <c r="E1" s="4"/>
      <c r="F1" s="4"/>
    </row>
    <row r="2" ht="14.25" customHeight="1">
      <c r="A2" s="41" t="s">
        <v>25</v>
      </c>
      <c r="B2" s="6" t="s">
        <v>3</v>
      </c>
      <c r="C2" s="6" t="s">
        <v>4</v>
      </c>
      <c r="D2" s="6" t="s">
        <v>5</v>
      </c>
      <c r="E2" s="7" t="s">
        <v>6</v>
      </c>
      <c r="F2" s="7"/>
    </row>
    <row r="3" ht="14.25" customHeight="1">
      <c r="A3" s="8"/>
      <c r="B3" s="9">
        <v>0.4375</v>
      </c>
      <c r="C3" s="9">
        <v>0.8541666666666666</v>
      </c>
      <c r="D3" s="10"/>
      <c r="E3" s="11">
        <f t="shared" ref="E3:F3" si="1">SUM(E6:E36)</f>
        <v>0.1826388889</v>
      </c>
      <c r="F3" s="11">
        <f t="shared" si="1"/>
        <v>0</v>
      </c>
      <c r="H3" s="15">
        <f>E3-G27</f>
        <v>0.1430555556</v>
      </c>
    </row>
    <row r="4" ht="14.25" customHeight="1">
      <c r="A4" s="12" t="s">
        <v>7</v>
      </c>
      <c r="B4" s="13"/>
      <c r="C4" s="14"/>
      <c r="D4" s="14"/>
      <c r="E4" s="13"/>
      <c r="F4" s="14"/>
    </row>
    <row r="5" ht="14.25" customHeight="1">
      <c r="A5" s="16" t="s">
        <v>8</v>
      </c>
      <c r="B5" s="17" t="s">
        <v>9</v>
      </c>
      <c r="C5" s="17" t="s">
        <v>10</v>
      </c>
      <c r="D5" s="17" t="s">
        <v>11</v>
      </c>
      <c r="E5" s="17" t="s">
        <v>6</v>
      </c>
      <c r="F5" s="17" t="s">
        <v>12</v>
      </c>
    </row>
    <row r="6" ht="14.25" customHeight="1">
      <c r="A6" s="18">
        <v>45901.0</v>
      </c>
      <c r="B6" s="19">
        <v>0.4201388888888889</v>
      </c>
      <c r="C6" s="19">
        <v>0.8541666666666666</v>
      </c>
      <c r="D6" s="20">
        <f t="shared" ref="D6:D36" si="2">if(isblank(B6),"", mod((C6-B6),1))</f>
        <v>0.4340277778</v>
      </c>
      <c r="E6" s="20" t="str">
        <f t="shared" ref="E6:E36" si="3">IF(C6&gt;$C$3,C6-$C$3,"")</f>
        <v/>
      </c>
      <c r="F6" s="20">
        <f t="shared" ref="F6:F36" si="4">if(isblank(B6),"",IF($B$3&gt;B6,0,(B6-$B$3)))</f>
        <v>0</v>
      </c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ht="14.25" customHeight="1">
      <c r="A7" s="29">
        <v>45902.0</v>
      </c>
      <c r="B7" s="60"/>
      <c r="C7" s="60"/>
      <c r="D7" s="32" t="str">
        <f t="shared" si="2"/>
        <v/>
      </c>
      <c r="E7" s="32" t="str">
        <f t="shared" si="3"/>
        <v/>
      </c>
      <c r="F7" s="32" t="str">
        <f t="shared" si="4"/>
        <v/>
      </c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ht="14.25" customHeight="1">
      <c r="A8" s="18">
        <v>45903.0</v>
      </c>
      <c r="B8" s="22">
        <v>0.42430555555555555</v>
      </c>
      <c r="C8" s="22">
        <v>0.8548611111111111</v>
      </c>
      <c r="D8" s="23">
        <f t="shared" si="2"/>
        <v>0.4305555556</v>
      </c>
      <c r="E8" s="23">
        <f t="shared" si="3"/>
        <v>0.0006944444444</v>
      </c>
      <c r="F8" s="23">
        <f t="shared" si="4"/>
        <v>0</v>
      </c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 ht="14.25" customHeight="1">
      <c r="A9" s="18">
        <v>45904.0</v>
      </c>
      <c r="B9" s="19">
        <v>0.425</v>
      </c>
      <c r="C9" s="19">
        <v>0.8541666666666666</v>
      </c>
      <c r="D9" s="20">
        <f t="shared" si="2"/>
        <v>0.4291666667</v>
      </c>
      <c r="E9" s="20" t="str">
        <f t="shared" si="3"/>
        <v/>
      </c>
      <c r="F9" s="20">
        <f t="shared" si="4"/>
        <v>0</v>
      </c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 ht="14.25" customHeight="1">
      <c r="A10" s="18">
        <v>45905.0</v>
      </c>
      <c r="B10" s="36">
        <v>0.42430555555555555</v>
      </c>
      <c r="C10" s="36">
        <v>0.875</v>
      </c>
      <c r="D10" s="37">
        <f t="shared" si="2"/>
        <v>0.4506944444</v>
      </c>
      <c r="E10" s="20">
        <f t="shared" si="3"/>
        <v>0.02083333333</v>
      </c>
      <c r="F10" s="23">
        <f t="shared" si="4"/>
        <v>0</v>
      </c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 ht="14.25" customHeight="1">
      <c r="A11" s="29">
        <v>45906.0</v>
      </c>
      <c r="B11" s="30">
        <v>0.4201388888888889</v>
      </c>
      <c r="C11" s="30">
        <v>0.875</v>
      </c>
      <c r="D11" s="31">
        <f t="shared" si="2"/>
        <v>0.4548611111</v>
      </c>
      <c r="E11" s="32">
        <f t="shared" si="3"/>
        <v>0.02083333333</v>
      </c>
      <c r="F11" s="32">
        <f t="shared" si="4"/>
        <v>0</v>
      </c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ht="14.25" customHeight="1">
      <c r="A12" s="18">
        <v>45907.0</v>
      </c>
      <c r="B12" s="33">
        <v>0.42291666666666666</v>
      </c>
      <c r="C12" s="33">
        <v>0.8541666666666666</v>
      </c>
      <c r="D12" s="34">
        <f t="shared" si="2"/>
        <v>0.43125</v>
      </c>
      <c r="E12" s="20" t="str">
        <f t="shared" si="3"/>
        <v/>
      </c>
      <c r="F12" s="20">
        <f t="shared" si="4"/>
        <v>0</v>
      </c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 ht="14.25" customHeight="1">
      <c r="A13" s="18">
        <v>45908.0</v>
      </c>
      <c r="B13" s="33">
        <v>0.4173611111111111</v>
      </c>
      <c r="C13" s="33">
        <v>0.8590277777777777</v>
      </c>
      <c r="D13" s="34">
        <f t="shared" si="2"/>
        <v>0.4416666667</v>
      </c>
      <c r="E13" s="20">
        <f t="shared" si="3"/>
        <v>0.004861111111</v>
      </c>
      <c r="F13" s="20">
        <f t="shared" si="4"/>
        <v>0</v>
      </c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ht="14.25" customHeight="1">
      <c r="A14" s="62">
        <v>45909.0</v>
      </c>
      <c r="B14" s="63"/>
      <c r="C14" s="63"/>
      <c r="D14" s="64" t="str">
        <f t="shared" si="2"/>
        <v/>
      </c>
      <c r="E14" s="65" t="str">
        <f t="shared" si="3"/>
        <v/>
      </c>
      <c r="F14" s="65" t="str">
        <f t="shared" si="4"/>
        <v/>
      </c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ht="14.25" customHeight="1">
      <c r="A15" s="18">
        <v>45910.0</v>
      </c>
      <c r="B15" s="33">
        <v>0.4215277777777778</v>
      </c>
      <c r="C15" s="33">
        <v>0.85625</v>
      </c>
      <c r="D15" s="34">
        <f t="shared" si="2"/>
        <v>0.4347222222</v>
      </c>
      <c r="E15" s="20">
        <f t="shared" si="3"/>
        <v>0.002083333333</v>
      </c>
      <c r="F15" s="20">
        <f t="shared" si="4"/>
        <v>0</v>
      </c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ht="14.25" customHeight="1">
      <c r="A16" s="18">
        <v>45911.0</v>
      </c>
      <c r="B16" s="33">
        <v>0.42083333333333334</v>
      </c>
      <c r="C16" s="33">
        <v>0.8541666666666666</v>
      </c>
      <c r="D16" s="34">
        <f t="shared" si="2"/>
        <v>0.4333333333</v>
      </c>
      <c r="E16" s="20" t="str">
        <f t="shared" si="3"/>
        <v/>
      </c>
      <c r="F16" s="20">
        <f t="shared" si="4"/>
        <v>0</v>
      </c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ht="14.25" customHeight="1">
      <c r="A17" s="18">
        <v>45912.0</v>
      </c>
      <c r="B17" s="33">
        <v>0.41944444444444445</v>
      </c>
      <c r="C17" s="33">
        <v>0.875</v>
      </c>
      <c r="D17" s="34">
        <f t="shared" si="2"/>
        <v>0.4555555556</v>
      </c>
      <c r="E17" s="20">
        <f t="shared" si="3"/>
        <v>0.02083333333</v>
      </c>
      <c r="F17" s="20">
        <f t="shared" si="4"/>
        <v>0</v>
      </c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ht="14.25" customHeight="1">
      <c r="A18" s="18">
        <v>45913.0</v>
      </c>
      <c r="B18" s="33">
        <v>0.42083333333333334</v>
      </c>
      <c r="C18" s="33">
        <v>0.875</v>
      </c>
      <c r="D18" s="34">
        <f t="shared" si="2"/>
        <v>0.4541666667</v>
      </c>
      <c r="E18" s="20">
        <f t="shared" si="3"/>
        <v>0.02083333333</v>
      </c>
      <c r="F18" s="20">
        <f t="shared" si="4"/>
        <v>0</v>
      </c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ht="14.25" customHeight="1">
      <c r="A19" s="18">
        <v>45914.0</v>
      </c>
      <c r="B19" s="36">
        <v>0.4215277777777778</v>
      </c>
      <c r="C19" s="33">
        <v>0.8541666666666666</v>
      </c>
      <c r="D19" s="37">
        <f t="shared" si="2"/>
        <v>0.4326388889</v>
      </c>
      <c r="E19" s="23" t="str">
        <f t="shared" si="3"/>
        <v/>
      </c>
      <c r="F19" s="23">
        <f t="shared" si="4"/>
        <v>0</v>
      </c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ht="14.25" customHeight="1">
      <c r="A20" s="18">
        <v>45915.0</v>
      </c>
      <c r="B20" s="33">
        <v>0.4284722222222222</v>
      </c>
      <c r="C20" s="33">
        <v>0.8541666666666666</v>
      </c>
      <c r="D20" s="34">
        <f t="shared" si="2"/>
        <v>0.4256944444</v>
      </c>
      <c r="E20" s="20" t="str">
        <f t="shared" si="3"/>
        <v/>
      </c>
      <c r="F20" s="20">
        <f t="shared" si="4"/>
        <v>0</v>
      </c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ht="14.25" customHeight="1">
      <c r="A21" s="29">
        <v>45916.0</v>
      </c>
      <c r="B21" s="35"/>
      <c r="C21" s="35"/>
      <c r="D21" s="32" t="str">
        <f t="shared" si="2"/>
        <v/>
      </c>
      <c r="E21" s="32" t="str">
        <f t="shared" si="3"/>
        <v/>
      </c>
      <c r="F21" s="32" t="str">
        <f t="shared" si="4"/>
        <v/>
      </c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ht="14.25" customHeight="1">
      <c r="A22" s="18">
        <v>45917.0</v>
      </c>
      <c r="B22" s="33">
        <v>0.4215277777777778</v>
      </c>
      <c r="C22" s="33">
        <v>0.8618055555555556</v>
      </c>
      <c r="D22" s="23">
        <f t="shared" si="2"/>
        <v>0.4402777778</v>
      </c>
      <c r="E22" s="23">
        <f t="shared" si="3"/>
        <v>0.007638888889</v>
      </c>
      <c r="F22" s="23">
        <f t="shared" si="4"/>
        <v>0</v>
      </c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ht="14.25" customHeight="1">
      <c r="A23" s="18">
        <v>45918.0</v>
      </c>
      <c r="B23" s="33">
        <v>0.4222222222222222</v>
      </c>
      <c r="C23" s="33">
        <v>0.8541666666666666</v>
      </c>
      <c r="D23" s="20">
        <f t="shared" si="2"/>
        <v>0.4319444444</v>
      </c>
      <c r="E23" s="20" t="str">
        <f t="shared" si="3"/>
        <v/>
      </c>
      <c r="F23" s="20">
        <f t="shared" si="4"/>
        <v>0</v>
      </c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ht="14.25" customHeight="1">
      <c r="A24" s="18">
        <v>45919.0</v>
      </c>
      <c r="B24" s="33">
        <v>0.4215277777777778</v>
      </c>
      <c r="C24" s="33">
        <v>0.875</v>
      </c>
      <c r="D24" s="23">
        <f t="shared" si="2"/>
        <v>0.4534722222</v>
      </c>
      <c r="E24" s="20">
        <f t="shared" si="3"/>
        <v>0.02083333333</v>
      </c>
      <c r="F24" s="23">
        <f t="shared" si="4"/>
        <v>0</v>
      </c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ht="14.25" customHeight="1">
      <c r="A25" s="18">
        <v>45920.0</v>
      </c>
      <c r="B25" s="33">
        <v>0.41944444444444445</v>
      </c>
      <c r="C25" s="33">
        <v>0.875</v>
      </c>
      <c r="D25" s="20">
        <f t="shared" si="2"/>
        <v>0.4555555556</v>
      </c>
      <c r="E25" s="20">
        <f t="shared" si="3"/>
        <v>0.02083333333</v>
      </c>
      <c r="F25" s="20">
        <f t="shared" si="4"/>
        <v>0</v>
      </c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ht="14.25" customHeight="1">
      <c r="A26" s="18">
        <v>45921.0</v>
      </c>
      <c r="B26" s="33">
        <v>0.41875</v>
      </c>
      <c r="C26" s="33">
        <v>0.8541666666666666</v>
      </c>
      <c r="D26" s="23">
        <f t="shared" si="2"/>
        <v>0.4354166667</v>
      </c>
      <c r="E26" s="23" t="str">
        <f t="shared" si="3"/>
        <v/>
      </c>
      <c r="F26" s="23">
        <f t="shared" si="4"/>
        <v>0</v>
      </c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ht="14.25" customHeight="1">
      <c r="A27" s="18">
        <v>45922.0</v>
      </c>
      <c r="B27" s="33">
        <v>0.42430555555555555</v>
      </c>
      <c r="C27" s="33">
        <v>0.8145833333333333</v>
      </c>
      <c r="D27" s="20">
        <f t="shared" si="2"/>
        <v>0.3902777778</v>
      </c>
      <c r="E27" s="20" t="str">
        <f t="shared" si="3"/>
        <v/>
      </c>
      <c r="F27" s="20">
        <f t="shared" si="4"/>
        <v>0</v>
      </c>
      <c r="G27" s="39">
        <v>0.03958333333333333</v>
      </c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ht="14.25" customHeight="1">
      <c r="A28" s="29">
        <v>45923.0</v>
      </c>
      <c r="B28" s="35"/>
      <c r="C28" s="35"/>
      <c r="D28" s="32" t="str">
        <f t="shared" si="2"/>
        <v/>
      </c>
      <c r="E28" s="32" t="str">
        <f t="shared" si="3"/>
        <v/>
      </c>
      <c r="F28" s="32" t="str">
        <f t="shared" si="4"/>
        <v/>
      </c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ht="14.25" customHeight="1">
      <c r="A29" s="18">
        <v>45924.0</v>
      </c>
      <c r="B29" s="33">
        <v>0.42291666666666666</v>
      </c>
      <c r="C29" s="33">
        <v>0.8541666666666666</v>
      </c>
      <c r="D29" s="23">
        <f t="shared" si="2"/>
        <v>0.43125</v>
      </c>
      <c r="E29" s="23" t="str">
        <f t="shared" si="3"/>
        <v/>
      </c>
      <c r="F29" s="23">
        <f t="shared" si="4"/>
        <v>0</v>
      </c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 ht="14.25" customHeight="1">
      <c r="A30" s="18">
        <v>45925.0</v>
      </c>
      <c r="B30" s="33">
        <v>0.4201388888888889</v>
      </c>
      <c r="C30" s="33">
        <v>0.8548611111111111</v>
      </c>
      <c r="D30" s="20">
        <f t="shared" si="2"/>
        <v>0.4347222222</v>
      </c>
      <c r="E30" s="20">
        <f t="shared" si="3"/>
        <v>0.0006944444444</v>
      </c>
      <c r="F30" s="20">
        <f t="shared" si="4"/>
        <v>0</v>
      </c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 ht="14.25" customHeight="1">
      <c r="A31" s="18">
        <v>45926.0</v>
      </c>
      <c r="B31" s="33">
        <v>0.4215277777777778</v>
      </c>
      <c r="C31" s="33">
        <v>0.875</v>
      </c>
      <c r="D31" s="23">
        <f t="shared" si="2"/>
        <v>0.4534722222</v>
      </c>
      <c r="E31" s="23">
        <f t="shared" si="3"/>
        <v>0.02083333333</v>
      </c>
      <c r="F31" s="23">
        <f t="shared" si="4"/>
        <v>0</v>
      </c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 ht="14.25" customHeight="1">
      <c r="A32" s="18">
        <v>45927.0</v>
      </c>
      <c r="B32" s="33">
        <v>0.4222222222222222</v>
      </c>
      <c r="C32" s="33">
        <v>0.875</v>
      </c>
      <c r="D32" s="23">
        <f t="shared" si="2"/>
        <v>0.4527777778</v>
      </c>
      <c r="E32" s="20">
        <f t="shared" si="3"/>
        <v>0.02083333333</v>
      </c>
      <c r="F32" s="23">
        <f t="shared" si="4"/>
        <v>0</v>
      </c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 ht="14.25" customHeight="1">
      <c r="A33" s="18">
        <v>45928.0</v>
      </c>
      <c r="B33" s="33">
        <v>0.42291666666666666</v>
      </c>
      <c r="C33" s="33">
        <v>0.8541666666666666</v>
      </c>
      <c r="D33" s="23">
        <f t="shared" si="2"/>
        <v>0.43125</v>
      </c>
      <c r="E33" s="20" t="str">
        <f t="shared" si="3"/>
        <v/>
      </c>
      <c r="F33" s="23">
        <f t="shared" si="4"/>
        <v>0</v>
      </c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ht="14.25" customHeight="1">
      <c r="A34" s="18">
        <v>45929.0</v>
      </c>
      <c r="B34" s="33">
        <v>0.4222222222222222</v>
      </c>
      <c r="C34" s="33">
        <v>0.8541666666666666</v>
      </c>
      <c r="D34" s="20">
        <f t="shared" si="2"/>
        <v>0.4319444444</v>
      </c>
      <c r="E34" s="20" t="str">
        <f t="shared" si="3"/>
        <v/>
      </c>
      <c r="F34" s="20">
        <f t="shared" si="4"/>
        <v>0</v>
      </c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ht="14.25" customHeight="1">
      <c r="A35" s="29">
        <v>45930.0</v>
      </c>
      <c r="B35" s="35"/>
      <c r="C35" s="35"/>
      <c r="D35" s="38" t="str">
        <f t="shared" si="2"/>
        <v/>
      </c>
      <c r="E35" s="38" t="str">
        <f t="shared" si="3"/>
        <v/>
      </c>
      <c r="F35" s="38" t="str">
        <f t="shared" si="4"/>
        <v/>
      </c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ht="14.25" customHeight="1">
      <c r="A36" s="18"/>
      <c r="B36" s="40"/>
      <c r="C36" s="40"/>
      <c r="D36" s="23" t="str">
        <f t="shared" si="2"/>
        <v/>
      </c>
      <c r="E36" s="20" t="str">
        <f t="shared" si="3"/>
        <v/>
      </c>
      <c r="F36" s="23" t="str">
        <f t="shared" si="4"/>
        <v/>
      </c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ht="14.25" customHeight="1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2:A3"/>
  </mergeCell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15.86"/>
    <col customWidth="1" min="3" max="3" width="14.0"/>
    <col customWidth="1" min="4" max="4" width="13.86"/>
    <col customWidth="1" min="5" max="5" width="12.86"/>
    <col customWidth="1" min="6" max="6" width="14.14"/>
    <col customWidth="1" min="7" max="26" width="8.71"/>
  </cols>
  <sheetData>
    <row r="1" ht="14.25" customHeight="1">
      <c r="A1" s="1"/>
      <c r="B1" s="2" t="s">
        <v>0</v>
      </c>
      <c r="C1" s="3" t="s">
        <v>1</v>
      </c>
      <c r="D1" s="2">
        <v>2025.0</v>
      </c>
      <c r="E1" s="4"/>
      <c r="F1" s="4"/>
    </row>
    <row r="2" ht="14.25" customHeight="1">
      <c r="A2" s="41" t="s">
        <v>26</v>
      </c>
      <c r="B2" s="6" t="s">
        <v>3</v>
      </c>
      <c r="C2" s="6" t="s">
        <v>4</v>
      </c>
      <c r="D2" s="6" t="s">
        <v>5</v>
      </c>
      <c r="E2" s="7" t="s">
        <v>6</v>
      </c>
      <c r="F2" s="7"/>
    </row>
    <row r="3" ht="14.25" customHeight="1">
      <c r="A3" s="8"/>
      <c r="B3" s="9">
        <v>0.4375</v>
      </c>
      <c r="C3" s="9">
        <v>0.8541666666666666</v>
      </c>
      <c r="D3" s="10"/>
      <c r="E3" s="11">
        <f t="shared" ref="E3:F3" si="1">SUM(E6:E36)</f>
        <v>0.1569444444</v>
      </c>
      <c r="F3" s="11">
        <f t="shared" si="1"/>
        <v>0.004861111111</v>
      </c>
    </row>
    <row r="4" ht="14.25" customHeight="1">
      <c r="A4" s="12" t="s">
        <v>7</v>
      </c>
      <c r="B4" s="13"/>
      <c r="C4" s="14"/>
      <c r="D4" s="14"/>
      <c r="E4" s="13"/>
      <c r="F4" s="14"/>
      <c r="H4" s="15">
        <f>E3-F3</f>
        <v>0.1520833333</v>
      </c>
    </row>
    <row r="5" ht="14.25" customHeight="1">
      <c r="A5" s="16" t="s">
        <v>8</v>
      </c>
      <c r="B5" s="17" t="s">
        <v>9</v>
      </c>
      <c r="C5" s="17" t="s">
        <v>10</v>
      </c>
      <c r="D5" s="17" t="s">
        <v>11</v>
      </c>
      <c r="E5" s="17" t="s">
        <v>6</v>
      </c>
      <c r="F5" s="17" t="s">
        <v>12</v>
      </c>
    </row>
    <row r="6" ht="14.25" customHeight="1">
      <c r="A6" s="18">
        <v>45901.0</v>
      </c>
      <c r="B6" s="19">
        <v>0.43194444444444446</v>
      </c>
      <c r="C6" s="19">
        <v>0.8548611111111111</v>
      </c>
      <c r="D6" s="20">
        <f t="shared" ref="D6:D36" si="2">if(isblank(B6),"", mod((C6-B6),1))</f>
        <v>0.4229166667</v>
      </c>
      <c r="E6" s="20">
        <f t="shared" ref="E6:E36" si="3">IF(C6&gt;$C$3,C6-$C$3,"")</f>
        <v>0.0006944444444</v>
      </c>
      <c r="F6" s="20">
        <f t="shared" ref="F6:F36" si="4">if(isblank(B6),"",IF($B$3&gt;B6,0,(B6-$B$3)))</f>
        <v>0</v>
      </c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ht="14.25" customHeight="1">
      <c r="A7" s="18">
        <v>45902.0</v>
      </c>
      <c r="B7" s="19">
        <v>0.42916666666666664</v>
      </c>
      <c r="C7" s="19">
        <v>0.8541666666666666</v>
      </c>
      <c r="D7" s="20">
        <f t="shared" si="2"/>
        <v>0.425</v>
      </c>
      <c r="E7" s="20" t="str">
        <f t="shared" si="3"/>
        <v/>
      </c>
      <c r="F7" s="20">
        <f t="shared" si="4"/>
        <v>0</v>
      </c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ht="14.25" customHeight="1">
      <c r="A8" s="18">
        <v>45903.0</v>
      </c>
      <c r="B8" s="22">
        <v>0.4270833333333333</v>
      </c>
      <c r="C8" s="22">
        <v>0.8694444444444445</v>
      </c>
      <c r="D8" s="23">
        <f t="shared" si="2"/>
        <v>0.4423611111</v>
      </c>
      <c r="E8" s="23">
        <f t="shared" si="3"/>
        <v>0.01527777778</v>
      </c>
      <c r="F8" s="23">
        <f t="shared" si="4"/>
        <v>0</v>
      </c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 ht="14.25" customHeight="1">
      <c r="A9" s="18">
        <v>45904.0</v>
      </c>
      <c r="B9" s="19">
        <v>0.4305555555555556</v>
      </c>
      <c r="C9" s="19">
        <v>0.8680555555555556</v>
      </c>
      <c r="D9" s="20">
        <f t="shared" si="2"/>
        <v>0.4375</v>
      </c>
      <c r="E9" s="20">
        <f t="shared" si="3"/>
        <v>0.01388888889</v>
      </c>
      <c r="F9" s="20">
        <f t="shared" si="4"/>
        <v>0</v>
      </c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 ht="14.25" customHeight="1">
      <c r="A10" s="29">
        <v>45905.0</v>
      </c>
      <c r="B10" s="43"/>
      <c r="C10" s="43"/>
      <c r="D10" s="44" t="str">
        <f t="shared" si="2"/>
        <v/>
      </c>
      <c r="E10" s="32" t="str">
        <f t="shared" si="3"/>
        <v/>
      </c>
      <c r="F10" s="38" t="str">
        <f t="shared" si="4"/>
        <v/>
      </c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 ht="14.25" customHeight="1">
      <c r="A11" s="54">
        <v>45906.0</v>
      </c>
      <c r="B11" s="55"/>
      <c r="C11" s="55"/>
      <c r="D11" s="56" t="str">
        <f t="shared" si="2"/>
        <v/>
      </c>
      <c r="E11" s="57" t="str">
        <f t="shared" si="3"/>
        <v/>
      </c>
      <c r="F11" s="57" t="str">
        <f t="shared" si="4"/>
        <v/>
      </c>
      <c r="G11" s="58" t="s">
        <v>19</v>
      </c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ht="14.25" customHeight="1">
      <c r="A12" s="18">
        <v>45907.0</v>
      </c>
      <c r="B12" s="33">
        <v>0.4284722222222222</v>
      </c>
      <c r="C12" s="33">
        <v>0.8541666666666666</v>
      </c>
      <c r="D12" s="34">
        <f t="shared" si="2"/>
        <v>0.4256944444</v>
      </c>
      <c r="E12" s="20" t="str">
        <f t="shared" si="3"/>
        <v/>
      </c>
      <c r="F12" s="20">
        <f t="shared" si="4"/>
        <v>0</v>
      </c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 ht="14.25" customHeight="1">
      <c r="A13" s="18">
        <v>45908.0</v>
      </c>
      <c r="B13" s="33">
        <v>0.43194444444444446</v>
      </c>
      <c r="C13" s="33">
        <v>0.8756944444444444</v>
      </c>
      <c r="D13" s="34">
        <f t="shared" si="2"/>
        <v>0.44375</v>
      </c>
      <c r="E13" s="20">
        <f t="shared" si="3"/>
        <v>0.02152777778</v>
      </c>
      <c r="F13" s="20">
        <f t="shared" si="4"/>
        <v>0</v>
      </c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ht="14.25" customHeight="1">
      <c r="A14" s="18">
        <v>45909.0</v>
      </c>
      <c r="B14" s="33">
        <v>0.4284722222222222</v>
      </c>
      <c r="C14" s="33">
        <v>0.8541666666666666</v>
      </c>
      <c r="D14" s="34">
        <f t="shared" si="2"/>
        <v>0.4256944444</v>
      </c>
      <c r="E14" s="20" t="str">
        <f t="shared" si="3"/>
        <v/>
      </c>
      <c r="F14" s="20">
        <f t="shared" si="4"/>
        <v>0</v>
      </c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ht="14.25" customHeight="1">
      <c r="A15" s="18">
        <v>45910.0</v>
      </c>
      <c r="B15" s="33">
        <v>0.4305555555555556</v>
      </c>
      <c r="C15" s="33">
        <v>0.8548611111111111</v>
      </c>
      <c r="D15" s="34">
        <f t="shared" si="2"/>
        <v>0.4243055556</v>
      </c>
      <c r="E15" s="20">
        <f t="shared" si="3"/>
        <v>0.0006944444444</v>
      </c>
      <c r="F15" s="20">
        <f t="shared" si="4"/>
        <v>0</v>
      </c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ht="14.25" customHeight="1">
      <c r="A16" s="18">
        <v>45911.0</v>
      </c>
      <c r="B16" s="33">
        <v>0.43680555555555556</v>
      </c>
      <c r="C16" s="33">
        <v>0.8555555555555555</v>
      </c>
      <c r="D16" s="34">
        <f t="shared" si="2"/>
        <v>0.41875</v>
      </c>
      <c r="E16" s="20">
        <f t="shared" si="3"/>
        <v>0.001388888889</v>
      </c>
      <c r="F16" s="20">
        <f t="shared" si="4"/>
        <v>0</v>
      </c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ht="14.25" customHeight="1">
      <c r="A17" s="24">
        <v>45912.0</v>
      </c>
      <c r="B17" s="66"/>
      <c r="C17" s="66"/>
      <c r="D17" s="46" t="str">
        <f t="shared" si="2"/>
        <v/>
      </c>
      <c r="E17" s="27" t="str">
        <f t="shared" si="3"/>
        <v/>
      </c>
      <c r="F17" s="27" t="str">
        <f t="shared" si="4"/>
        <v/>
      </c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ht="14.25" customHeight="1">
      <c r="A18" s="18">
        <v>45913.0</v>
      </c>
      <c r="B18" s="33">
        <v>0.4305555555555556</v>
      </c>
      <c r="C18" s="33">
        <v>0.8541666666666666</v>
      </c>
      <c r="D18" s="34">
        <f t="shared" si="2"/>
        <v>0.4236111111</v>
      </c>
      <c r="E18" s="20" t="str">
        <f t="shared" si="3"/>
        <v/>
      </c>
      <c r="F18" s="20">
        <f t="shared" si="4"/>
        <v>0</v>
      </c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ht="14.25" customHeight="1">
      <c r="A19" s="18">
        <v>45914.0</v>
      </c>
      <c r="B19" s="36">
        <v>0.42916666666666664</v>
      </c>
      <c r="C19" s="33">
        <v>0.8541666666666666</v>
      </c>
      <c r="D19" s="37">
        <f t="shared" si="2"/>
        <v>0.425</v>
      </c>
      <c r="E19" s="23" t="str">
        <f t="shared" si="3"/>
        <v/>
      </c>
      <c r="F19" s="23">
        <f t="shared" si="4"/>
        <v>0</v>
      </c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ht="14.25" customHeight="1">
      <c r="A20" s="18">
        <v>45915.0</v>
      </c>
      <c r="B20" s="33">
        <v>0.4305555555555556</v>
      </c>
      <c r="C20" s="33">
        <v>0.8541666666666666</v>
      </c>
      <c r="D20" s="34">
        <f t="shared" si="2"/>
        <v>0.4236111111</v>
      </c>
      <c r="E20" s="20" t="str">
        <f t="shared" si="3"/>
        <v/>
      </c>
      <c r="F20" s="20">
        <f t="shared" si="4"/>
        <v>0</v>
      </c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ht="14.25" customHeight="1">
      <c r="A21" s="18">
        <v>45916.0</v>
      </c>
      <c r="B21" s="33">
        <v>0.4305555555555556</v>
      </c>
      <c r="C21" s="33">
        <v>0.8625</v>
      </c>
      <c r="D21" s="20">
        <f t="shared" si="2"/>
        <v>0.4319444444</v>
      </c>
      <c r="E21" s="20">
        <f t="shared" si="3"/>
        <v>0.008333333333</v>
      </c>
      <c r="F21" s="20">
        <f t="shared" si="4"/>
        <v>0</v>
      </c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ht="14.25" customHeight="1">
      <c r="A22" s="18">
        <v>45917.0</v>
      </c>
      <c r="B22" s="33">
        <v>0.43194444444444446</v>
      </c>
      <c r="C22" s="33">
        <v>0.8576388888888888</v>
      </c>
      <c r="D22" s="23">
        <f t="shared" si="2"/>
        <v>0.4256944444</v>
      </c>
      <c r="E22" s="23">
        <f t="shared" si="3"/>
        <v>0.003472222222</v>
      </c>
      <c r="F22" s="23">
        <f t="shared" si="4"/>
        <v>0</v>
      </c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ht="14.25" customHeight="1">
      <c r="A23" s="18">
        <v>45918.0</v>
      </c>
      <c r="B23" s="33">
        <v>0.4305555555555556</v>
      </c>
      <c r="C23" s="33">
        <v>0.8541666666666666</v>
      </c>
      <c r="D23" s="20">
        <f t="shared" si="2"/>
        <v>0.4236111111</v>
      </c>
      <c r="E23" s="20" t="str">
        <f t="shared" si="3"/>
        <v/>
      </c>
      <c r="F23" s="20">
        <f t="shared" si="4"/>
        <v>0</v>
      </c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ht="14.25" customHeight="1">
      <c r="A24" s="29">
        <v>45919.0</v>
      </c>
      <c r="B24" s="35"/>
      <c r="C24" s="35"/>
      <c r="D24" s="38" t="str">
        <f t="shared" si="2"/>
        <v/>
      </c>
      <c r="E24" s="32" t="str">
        <f t="shared" si="3"/>
        <v/>
      </c>
      <c r="F24" s="38" t="str">
        <f t="shared" si="4"/>
        <v/>
      </c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ht="14.25" customHeight="1">
      <c r="A25" s="18">
        <v>45920.0</v>
      </c>
      <c r="B25" s="33">
        <v>0.4305555555555556</v>
      </c>
      <c r="C25" s="33">
        <v>0.8541666666666666</v>
      </c>
      <c r="D25" s="20">
        <f t="shared" si="2"/>
        <v>0.4236111111</v>
      </c>
      <c r="E25" s="20" t="str">
        <f t="shared" si="3"/>
        <v/>
      </c>
      <c r="F25" s="20">
        <f t="shared" si="4"/>
        <v>0</v>
      </c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ht="14.25" customHeight="1">
      <c r="A26" s="18">
        <v>45921.0</v>
      </c>
      <c r="B26" s="33">
        <v>0.4305555555555556</v>
      </c>
      <c r="C26" s="33">
        <v>0.8541666666666666</v>
      </c>
      <c r="D26" s="23">
        <f t="shared" si="2"/>
        <v>0.4236111111</v>
      </c>
      <c r="E26" s="23" t="str">
        <f t="shared" si="3"/>
        <v/>
      </c>
      <c r="F26" s="23">
        <f t="shared" si="4"/>
        <v>0</v>
      </c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ht="14.25" customHeight="1">
      <c r="A27" s="18">
        <v>45922.0</v>
      </c>
      <c r="B27" s="33">
        <v>0.4423611111111111</v>
      </c>
      <c r="C27" s="33">
        <v>0.875</v>
      </c>
      <c r="D27" s="20">
        <f t="shared" si="2"/>
        <v>0.4326388889</v>
      </c>
      <c r="E27" s="20">
        <f t="shared" si="3"/>
        <v>0.02083333333</v>
      </c>
      <c r="F27" s="20">
        <f t="shared" si="4"/>
        <v>0.004861111111</v>
      </c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ht="14.25" customHeight="1">
      <c r="A28" s="18">
        <v>45923.0</v>
      </c>
      <c r="B28" s="33">
        <v>0.42083333333333334</v>
      </c>
      <c r="C28" s="33">
        <v>0.8541666666666666</v>
      </c>
      <c r="D28" s="20">
        <f t="shared" si="2"/>
        <v>0.4333333333</v>
      </c>
      <c r="E28" s="20" t="str">
        <f t="shared" si="3"/>
        <v/>
      </c>
      <c r="F28" s="20">
        <f t="shared" si="4"/>
        <v>0</v>
      </c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ht="14.25" customHeight="1">
      <c r="A29" s="18">
        <v>45924.0</v>
      </c>
      <c r="B29" s="33">
        <v>0.42916666666666664</v>
      </c>
      <c r="C29" s="33">
        <v>0.8576388888888888</v>
      </c>
      <c r="D29" s="23">
        <f t="shared" si="2"/>
        <v>0.4284722222</v>
      </c>
      <c r="E29" s="23">
        <f t="shared" si="3"/>
        <v>0.003472222222</v>
      </c>
      <c r="F29" s="23">
        <f t="shared" si="4"/>
        <v>0</v>
      </c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 ht="14.25" customHeight="1">
      <c r="A30" s="18">
        <v>45925.0</v>
      </c>
      <c r="B30" s="33">
        <v>0.42916666666666664</v>
      </c>
      <c r="C30" s="33">
        <v>0.8541666666666666</v>
      </c>
      <c r="D30" s="20">
        <f t="shared" si="2"/>
        <v>0.425</v>
      </c>
      <c r="E30" s="20" t="str">
        <f t="shared" si="3"/>
        <v/>
      </c>
      <c r="F30" s="20">
        <f t="shared" si="4"/>
        <v>0</v>
      </c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 ht="14.25" customHeight="1">
      <c r="A31" s="29">
        <v>45926.0</v>
      </c>
      <c r="B31" s="35"/>
      <c r="C31" s="35"/>
      <c r="D31" s="38" t="str">
        <f t="shared" si="2"/>
        <v/>
      </c>
      <c r="E31" s="38" t="str">
        <f t="shared" si="3"/>
        <v/>
      </c>
      <c r="F31" s="38" t="str">
        <f t="shared" si="4"/>
        <v/>
      </c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 ht="14.25" customHeight="1">
      <c r="A32" s="18">
        <v>45927.0</v>
      </c>
      <c r="B32" s="33">
        <v>0.4305555555555556</v>
      </c>
      <c r="C32" s="33">
        <v>0.8541666666666666</v>
      </c>
      <c r="D32" s="23">
        <f t="shared" si="2"/>
        <v>0.4236111111</v>
      </c>
      <c r="E32" s="20" t="str">
        <f t="shared" si="3"/>
        <v/>
      </c>
      <c r="F32" s="23">
        <f t="shared" si="4"/>
        <v>0</v>
      </c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 ht="14.25" customHeight="1">
      <c r="A33" s="18">
        <v>45928.0</v>
      </c>
      <c r="B33" s="33">
        <v>0.4305555555555556</v>
      </c>
      <c r="C33" s="33">
        <v>0.8763888888888889</v>
      </c>
      <c r="D33" s="23">
        <f t="shared" si="2"/>
        <v>0.4458333333</v>
      </c>
      <c r="E33" s="20">
        <f t="shared" si="3"/>
        <v>0.02222222222</v>
      </c>
      <c r="F33" s="23">
        <f t="shared" si="4"/>
        <v>0</v>
      </c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ht="14.25" customHeight="1">
      <c r="A34" s="18">
        <v>45929.0</v>
      </c>
      <c r="B34" s="33">
        <v>0.42083333333333334</v>
      </c>
      <c r="C34" s="33">
        <v>0.8958333333333334</v>
      </c>
      <c r="D34" s="20">
        <f t="shared" si="2"/>
        <v>0.475</v>
      </c>
      <c r="E34" s="20">
        <f t="shared" si="3"/>
        <v>0.04166666667</v>
      </c>
      <c r="F34" s="20">
        <f t="shared" si="4"/>
        <v>0</v>
      </c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ht="14.25" customHeight="1">
      <c r="A35" s="18">
        <v>45930.0</v>
      </c>
      <c r="B35" s="33">
        <v>0.42986111111111114</v>
      </c>
      <c r="C35" s="33">
        <v>0.8576388888888888</v>
      </c>
      <c r="D35" s="23">
        <f t="shared" si="2"/>
        <v>0.4277777778</v>
      </c>
      <c r="E35" s="23">
        <f t="shared" si="3"/>
        <v>0.003472222222</v>
      </c>
      <c r="F35" s="23">
        <f t="shared" si="4"/>
        <v>0</v>
      </c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ht="14.25" customHeight="1">
      <c r="A36" s="18"/>
      <c r="B36" s="40"/>
      <c r="C36" s="40"/>
      <c r="D36" s="23" t="str">
        <f t="shared" si="2"/>
        <v/>
      </c>
      <c r="E36" s="20" t="str">
        <f t="shared" si="3"/>
        <v/>
      </c>
      <c r="F36" s="23" t="str">
        <f t="shared" si="4"/>
        <v/>
      </c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ht="14.25" customHeight="1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2:A3"/>
  </mergeCell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15.86"/>
    <col customWidth="1" min="3" max="3" width="14.0"/>
    <col customWidth="1" min="4" max="4" width="13.86"/>
    <col customWidth="1" min="5" max="5" width="12.86"/>
    <col customWidth="1" min="6" max="6" width="14.14"/>
    <col customWidth="1" min="7" max="26" width="8.71"/>
  </cols>
  <sheetData>
    <row r="1" ht="14.25" customHeight="1">
      <c r="A1" s="1"/>
      <c r="B1" s="2" t="s">
        <v>0</v>
      </c>
      <c r="C1" s="3" t="s">
        <v>1</v>
      </c>
      <c r="D1" s="2">
        <v>2025.0</v>
      </c>
      <c r="E1" s="4"/>
      <c r="F1" s="4"/>
    </row>
    <row r="2" ht="14.25" customHeight="1">
      <c r="A2" s="41" t="s">
        <v>27</v>
      </c>
      <c r="B2" s="6" t="s">
        <v>3</v>
      </c>
      <c r="C2" s="6" t="s">
        <v>4</v>
      </c>
      <c r="D2" s="6" t="s">
        <v>5</v>
      </c>
      <c r="E2" s="7" t="s">
        <v>6</v>
      </c>
      <c r="F2" s="7"/>
    </row>
    <row r="3" ht="14.25" customHeight="1">
      <c r="A3" s="8"/>
      <c r="B3" s="19">
        <v>0.5208333333333334</v>
      </c>
      <c r="C3" s="9">
        <v>0.8541666666666666</v>
      </c>
      <c r="D3" s="10"/>
      <c r="E3" s="11">
        <f t="shared" ref="E3:F3" si="1">SUM(E6:E36)</f>
        <v>0.04861111111</v>
      </c>
      <c r="F3" s="11">
        <f t="shared" si="1"/>
        <v>0.01875</v>
      </c>
    </row>
    <row r="4" ht="14.25" customHeight="1">
      <c r="A4" s="12" t="s">
        <v>7</v>
      </c>
      <c r="B4" s="13"/>
      <c r="C4" s="14"/>
      <c r="D4" s="14"/>
      <c r="E4" s="13"/>
      <c r="F4" s="14"/>
    </row>
    <row r="5" ht="14.25" customHeight="1">
      <c r="A5" s="16" t="s">
        <v>8</v>
      </c>
      <c r="B5" s="17" t="s">
        <v>9</v>
      </c>
      <c r="C5" s="17" t="s">
        <v>10</v>
      </c>
      <c r="D5" s="17" t="s">
        <v>11</v>
      </c>
      <c r="E5" s="17" t="s">
        <v>6</v>
      </c>
      <c r="F5" s="17" t="s">
        <v>12</v>
      </c>
    </row>
    <row r="6" ht="14.25" customHeight="1">
      <c r="A6" s="47">
        <v>45901.0</v>
      </c>
      <c r="B6" s="67"/>
      <c r="C6" s="67"/>
      <c r="D6" s="51" t="str">
        <f t="shared" ref="D6:D36" si="2">if(isblank(B6),"", mod((C6-B6),1))</f>
        <v/>
      </c>
      <c r="E6" s="51" t="str">
        <f t="shared" ref="E6:E36" si="3">IF(C6&gt;$C$3,C6-$C$3,"")</f>
        <v/>
      </c>
      <c r="F6" s="51" t="str">
        <f t="shared" ref="F6:F36" si="4">if(isblank(B6),"",IF($B$3&gt;B6,0,(B6-$B$3)))</f>
        <v/>
      </c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ht="14.25" customHeight="1">
      <c r="A7" s="47">
        <v>45902.0</v>
      </c>
      <c r="B7" s="67"/>
      <c r="C7" s="67"/>
      <c r="D7" s="51" t="str">
        <f t="shared" si="2"/>
        <v/>
      </c>
      <c r="E7" s="51" t="str">
        <f t="shared" si="3"/>
        <v/>
      </c>
      <c r="F7" s="51" t="str">
        <f t="shared" si="4"/>
        <v/>
      </c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ht="14.25" customHeight="1">
      <c r="A8" s="18">
        <v>45903.0</v>
      </c>
      <c r="B8" s="22">
        <v>0.5208333333333334</v>
      </c>
      <c r="C8" s="22">
        <v>0.8541666666666666</v>
      </c>
      <c r="D8" s="23">
        <f t="shared" si="2"/>
        <v>0.3333333333</v>
      </c>
      <c r="E8" s="23" t="str">
        <f t="shared" si="3"/>
        <v/>
      </c>
      <c r="F8" s="23">
        <f t="shared" si="4"/>
        <v>0</v>
      </c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 ht="14.25" customHeight="1">
      <c r="A9" s="18">
        <v>45904.0</v>
      </c>
      <c r="B9" s="19">
        <v>0.5236111111111111</v>
      </c>
      <c r="C9" s="19">
        <v>0.8541666666666666</v>
      </c>
      <c r="D9" s="20">
        <f t="shared" si="2"/>
        <v>0.3305555556</v>
      </c>
      <c r="E9" s="20" t="str">
        <f t="shared" si="3"/>
        <v/>
      </c>
      <c r="F9" s="20">
        <f t="shared" si="4"/>
        <v>0.002777777778</v>
      </c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 ht="14.25" customHeight="1">
      <c r="A10" s="29">
        <v>45905.0</v>
      </c>
      <c r="B10" s="43"/>
      <c r="C10" s="43"/>
      <c r="D10" s="44" t="str">
        <f t="shared" si="2"/>
        <v/>
      </c>
      <c r="E10" s="32" t="str">
        <f t="shared" si="3"/>
        <v/>
      </c>
      <c r="F10" s="38" t="str">
        <f t="shared" si="4"/>
        <v/>
      </c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 ht="14.25" customHeight="1">
      <c r="A11" s="29">
        <v>45906.0</v>
      </c>
      <c r="B11" s="30">
        <v>0.5194444444444445</v>
      </c>
      <c r="C11" s="30">
        <v>0.8541666666666666</v>
      </c>
      <c r="D11" s="31">
        <f t="shared" si="2"/>
        <v>0.3347222222</v>
      </c>
      <c r="E11" s="32" t="str">
        <f t="shared" si="3"/>
        <v/>
      </c>
      <c r="F11" s="32">
        <f t="shared" si="4"/>
        <v>0</v>
      </c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ht="14.25" customHeight="1">
      <c r="A12" s="18">
        <v>45907.0</v>
      </c>
      <c r="B12" s="33">
        <v>0.5201388888888889</v>
      </c>
      <c r="C12" s="33">
        <v>0.8541666666666666</v>
      </c>
      <c r="D12" s="34">
        <f t="shared" si="2"/>
        <v>0.3340277778</v>
      </c>
      <c r="E12" s="20" t="str">
        <f t="shared" si="3"/>
        <v/>
      </c>
      <c r="F12" s="20">
        <f t="shared" si="4"/>
        <v>0</v>
      </c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 ht="14.25" customHeight="1">
      <c r="A13" s="18">
        <v>45908.0</v>
      </c>
      <c r="B13" s="33">
        <v>0.5208333333333334</v>
      </c>
      <c r="C13" s="33">
        <v>0.8541666666666666</v>
      </c>
      <c r="D13" s="34">
        <f t="shared" si="2"/>
        <v>0.3333333333</v>
      </c>
      <c r="E13" s="20" t="str">
        <f t="shared" si="3"/>
        <v/>
      </c>
      <c r="F13" s="20">
        <f t="shared" si="4"/>
        <v>0</v>
      </c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ht="14.25" customHeight="1">
      <c r="A14" s="18">
        <v>45909.0</v>
      </c>
      <c r="B14" s="33">
        <v>0.5236111111111111</v>
      </c>
      <c r="C14" s="33">
        <v>0.8541666666666666</v>
      </c>
      <c r="D14" s="34">
        <f t="shared" si="2"/>
        <v>0.3305555556</v>
      </c>
      <c r="E14" s="20" t="str">
        <f t="shared" si="3"/>
        <v/>
      </c>
      <c r="F14" s="20">
        <f t="shared" si="4"/>
        <v>0.002777777778</v>
      </c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ht="14.25" customHeight="1">
      <c r="A15" s="18">
        <v>45910.0</v>
      </c>
      <c r="B15" s="33">
        <v>0.5208333333333334</v>
      </c>
      <c r="C15" s="33">
        <v>0.8541666666666666</v>
      </c>
      <c r="D15" s="34">
        <f t="shared" si="2"/>
        <v>0.3333333333</v>
      </c>
      <c r="E15" s="20" t="str">
        <f t="shared" si="3"/>
        <v/>
      </c>
      <c r="F15" s="20">
        <f t="shared" si="4"/>
        <v>0</v>
      </c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ht="14.25" customHeight="1">
      <c r="A16" s="18">
        <v>45911.0</v>
      </c>
      <c r="B16" s="33">
        <v>0.5208333333333334</v>
      </c>
      <c r="C16" s="33">
        <v>0.8541666666666666</v>
      </c>
      <c r="D16" s="34">
        <f t="shared" si="2"/>
        <v>0.3333333333</v>
      </c>
      <c r="E16" s="20" t="str">
        <f t="shared" si="3"/>
        <v/>
      </c>
      <c r="F16" s="20">
        <f t="shared" si="4"/>
        <v>0</v>
      </c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ht="14.25" customHeight="1">
      <c r="A17" s="29">
        <v>45912.0</v>
      </c>
      <c r="B17" s="35"/>
      <c r="C17" s="35"/>
      <c r="D17" s="31" t="str">
        <f t="shared" si="2"/>
        <v/>
      </c>
      <c r="E17" s="32" t="str">
        <f t="shared" si="3"/>
        <v/>
      </c>
      <c r="F17" s="32" t="str">
        <f t="shared" si="4"/>
        <v/>
      </c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ht="14.25" customHeight="1">
      <c r="A18" s="18">
        <v>45913.0</v>
      </c>
      <c r="B18" s="33">
        <v>0.5215277777777778</v>
      </c>
      <c r="C18" s="33">
        <v>0.8541666666666666</v>
      </c>
      <c r="D18" s="34">
        <f t="shared" si="2"/>
        <v>0.3326388889</v>
      </c>
      <c r="E18" s="20" t="str">
        <f t="shared" si="3"/>
        <v/>
      </c>
      <c r="F18" s="20">
        <f t="shared" si="4"/>
        <v>0.0006944444444</v>
      </c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ht="14.25" customHeight="1">
      <c r="A19" s="18">
        <v>45914.0</v>
      </c>
      <c r="B19" s="36">
        <v>0.5194444444444445</v>
      </c>
      <c r="C19" s="33">
        <v>0.8541666666666666</v>
      </c>
      <c r="D19" s="37">
        <f t="shared" si="2"/>
        <v>0.3347222222</v>
      </c>
      <c r="E19" s="23" t="str">
        <f t="shared" si="3"/>
        <v/>
      </c>
      <c r="F19" s="23">
        <f t="shared" si="4"/>
        <v>0</v>
      </c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ht="14.25" customHeight="1">
      <c r="A20" s="18">
        <v>45915.0</v>
      </c>
      <c r="B20" s="33">
        <v>0.5194444444444445</v>
      </c>
      <c r="C20" s="33">
        <v>0.8541666666666666</v>
      </c>
      <c r="D20" s="34">
        <f t="shared" si="2"/>
        <v>0.3347222222</v>
      </c>
      <c r="E20" s="20" t="str">
        <f t="shared" si="3"/>
        <v/>
      </c>
      <c r="F20" s="20">
        <f t="shared" si="4"/>
        <v>0</v>
      </c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ht="14.25" customHeight="1">
      <c r="A21" s="18">
        <v>45916.0</v>
      </c>
      <c r="B21" s="33">
        <v>0.5201388888888889</v>
      </c>
      <c r="C21" s="33">
        <v>0.8541666666666666</v>
      </c>
      <c r="D21" s="20">
        <f t="shared" si="2"/>
        <v>0.3340277778</v>
      </c>
      <c r="E21" s="20" t="str">
        <f t="shared" si="3"/>
        <v/>
      </c>
      <c r="F21" s="20">
        <f t="shared" si="4"/>
        <v>0</v>
      </c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ht="14.25" customHeight="1">
      <c r="A22" s="18">
        <v>45917.0</v>
      </c>
      <c r="B22" s="33">
        <v>0.5194444444444445</v>
      </c>
      <c r="C22" s="33">
        <v>0.8541666666666666</v>
      </c>
      <c r="D22" s="23">
        <f t="shared" si="2"/>
        <v>0.3347222222</v>
      </c>
      <c r="E22" s="23" t="str">
        <f t="shared" si="3"/>
        <v/>
      </c>
      <c r="F22" s="23">
        <f t="shared" si="4"/>
        <v>0</v>
      </c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ht="14.25" customHeight="1">
      <c r="A23" s="18">
        <v>45918.0</v>
      </c>
      <c r="B23" s="33">
        <v>0.5201388888888889</v>
      </c>
      <c r="C23" s="33">
        <v>0.8541666666666666</v>
      </c>
      <c r="D23" s="20">
        <f t="shared" si="2"/>
        <v>0.3340277778</v>
      </c>
      <c r="E23" s="20" t="str">
        <f t="shared" si="3"/>
        <v/>
      </c>
      <c r="F23" s="20">
        <f t="shared" si="4"/>
        <v>0</v>
      </c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ht="14.25" customHeight="1">
      <c r="A24" s="29">
        <v>45919.0</v>
      </c>
      <c r="B24" s="35"/>
      <c r="C24" s="35"/>
      <c r="D24" s="38" t="str">
        <f t="shared" si="2"/>
        <v/>
      </c>
      <c r="E24" s="32" t="str">
        <f t="shared" si="3"/>
        <v/>
      </c>
      <c r="F24" s="38" t="str">
        <f t="shared" si="4"/>
        <v/>
      </c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ht="14.25" customHeight="1">
      <c r="A25" s="18">
        <v>45920.0</v>
      </c>
      <c r="B25" s="33">
        <v>0.5194444444444445</v>
      </c>
      <c r="C25" s="33">
        <v>0.8541666666666666</v>
      </c>
      <c r="D25" s="20">
        <f t="shared" si="2"/>
        <v>0.3347222222</v>
      </c>
      <c r="E25" s="20" t="str">
        <f t="shared" si="3"/>
        <v/>
      </c>
      <c r="F25" s="20">
        <f t="shared" si="4"/>
        <v>0</v>
      </c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ht="14.25" customHeight="1">
      <c r="A26" s="18">
        <v>45921.0</v>
      </c>
      <c r="B26" s="33">
        <v>0.5208333333333334</v>
      </c>
      <c r="C26" s="33">
        <v>0.8541666666666666</v>
      </c>
      <c r="D26" s="23">
        <f t="shared" si="2"/>
        <v>0.3333333333</v>
      </c>
      <c r="E26" s="23" t="str">
        <f t="shared" si="3"/>
        <v/>
      </c>
      <c r="F26" s="23">
        <f t="shared" si="4"/>
        <v>0</v>
      </c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ht="14.25" customHeight="1">
      <c r="A27" s="18">
        <v>45922.0</v>
      </c>
      <c r="B27" s="33">
        <v>0.53125</v>
      </c>
      <c r="C27" s="33">
        <v>0.8541666666666666</v>
      </c>
      <c r="D27" s="20">
        <f t="shared" si="2"/>
        <v>0.3229166667</v>
      </c>
      <c r="E27" s="20" t="str">
        <f t="shared" si="3"/>
        <v/>
      </c>
      <c r="F27" s="20">
        <f t="shared" si="4"/>
        <v>0.01041666667</v>
      </c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ht="14.25" customHeight="1">
      <c r="A28" s="18">
        <v>45923.0</v>
      </c>
      <c r="B28" s="33">
        <v>0.5208333333333334</v>
      </c>
      <c r="C28" s="33">
        <v>0.8541666666666666</v>
      </c>
      <c r="D28" s="20">
        <f t="shared" si="2"/>
        <v>0.3333333333</v>
      </c>
      <c r="E28" s="20" t="str">
        <f t="shared" si="3"/>
        <v/>
      </c>
      <c r="F28" s="20">
        <f t="shared" si="4"/>
        <v>0</v>
      </c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ht="14.25" customHeight="1">
      <c r="A29" s="18">
        <v>45924.0</v>
      </c>
      <c r="B29" s="33">
        <v>0.5201388888888889</v>
      </c>
      <c r="C29" s="33">
        <v>0.8541666666666666</v>
      </c>
      <c r="D29" s="23">
        <f t="shared" si="2"/>
        <v>0.3340277778</v>
      </c>
      <c r="E29" s="23" t="str">
        <f t="shared" si="3"/>
        <v/>
      </c>
      <c r="F29" s="23">
        <f t="shared" si="4"/>
        <v>0</v>
      </c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 ht="14.25" customHeight="1">
      <c r="A30" s="18">
        <v>45925.0</v>
      </c>
      <c r="B30" s="33">
        <v>0.5208333333333334</v>
      </c>
      <c r="C30" s="33">
        <v>0.8541666666666666</v>
      </c>
      <c r="D30" s="20">
        <f t="shared" si="2"/>
        <v>0.3333333333</v>
      </c>
      <c r="E30" s="20" t="str">
        <f t="shared" si="3"/>
        <v/>
      </c>
      <c r="F30" s="20">
        <f t="shared" si="4"/>
        <v>0</v>
      </c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 ht="14.25" customHeight="1">
      <c r="A31" s="29">
        <v>45926.0</v>
      </c>
      <c r="B31" s="35"/>
      <c r="C31" s="35"/>
      <c r="D31" s="38" t="str">
        <f t="shared" si="2"/>
        <v/>
      </c>
      <c r="E31" s="38" t="str">
        <f t="shared" si="3"/>
        <v/>
      </c>
      <c r="F31" s="38" t="str">
        <f t="shared" si="4"/>
        <v/>
      </c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 ht="14.25" customHeight="1">
      <c r="A32" s="18">
        <v>45927.0</v>
      </c>
      <c r="B32" s="33">
        <v>0.5201388888888889</v>
      </c>
      <c r="C32" s="33">
        <v>0.8541666666666666</v>
      </c>
      <c r="D32" s="23">
        <f t="shared" si="2"/>
        <v>0.3340277778</v>
      </c>
      <c r="E32" s="20" t="str">
        <f t="shared" si="3"/>
        <v/>
      </c>
      <c r="F32" s="23">
        <f t="shared" si="4"/>
        <v>0</v>
      </c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 ht="14.25" customHeight="1">
      <c r="A33" s="18">
        <v>45928.0</v>
      </c>
      <c r="B33" s="33">
        <v>0.5208333333333334</v>
      </c>
      <c r="C33" s="33">
        <v>0.8611111111111112</v>
      </c>
      <c r="D33" s="23">
        <f t="shared" si="2"/>
        <v>0.3402777778</v>
      </c>
      <c r="E33" s="20">
        <f t="shared" si="3"/>
        <v>0.006944444444</v>
      </c>
      <c r="F33" s="23">
        <f t="shared" si="4"/>
        <v>0</v>
      </c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ht="14.25" customHeight="1">
      <c r="A34" s="18">
        <v>45929.0</v>
      </c>
      <c r="B34" s="33">
        <v>0.5215277777777778</v>
      </c>
      <c r="C34" s="33">
        <v>0.8958333333333334</v>
      </c>
      <c r="D34" s="20">
        <f t="shared" si="2"/>
        <v>0.3743055556</v>
      </c>
      <c r="E34" s="20">
        <f t="shared" si="3"/>
        <v>0.04166666667</v>
      </c>
      <c r="F34" s="20">
        <f t="shared" si="4"/>
        <v>0.0006944444444</v>
      </c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ht="14.25" customHeight="1">
      <c r="A35" s="18">
        <v>45930.0</v>
      </c>
      <c r="B35" s="33">
        <v>0.5222222222222223</v>
      </c>
      <c r="C35" s="33">
        <v>0.8541666666666666</v>
      </c>
      <c r="D35" s="23">
        <f t="shared" si="2"/>
        <v>0.3319444444</v>
      </c>
      <c r="E35" s="23" t="str">
        <f t="shared" si="3"/>
        <v/>
      </c>
      <c r="F35" s="23">
        <f t="shared" si="4"/>
        <v>0.001388888889</v>
      </c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ht="14.25" customHeight="1">
      <c r="A36" s="18"/>
      <c r="B36" s="40"/>
      <c r="C36" s="40"/>
      <c r="D36" s="23" t="str">
        <f t="shared" si="2"/>
        <v/>
      </c>
      <c r="E36" s="20" t="str">
        <f t="shared" si="3"/>
        <v/>
      </c>
      <c r="F36" s="23" t="str">
        <f t="shared" si="4"/>
        <v/>
      </c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ht="14.25" customHeight="1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2:A3"/>
  </mergeCells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15.86"/>
    <col customWidth="1" min="3" max="3" width="14.0"/>
    <col customWidth="1" min="4" max="4" width="13.86"/>
    <col customWidth="1" min="5" max="5" width="12.86"/>
    <col customWidth="1" min="6" max="6" width="14.14"/>
    <col customWidth="1" min="7" max="26" width="8.71"/>
  </cols>
  <sheetData>
    <row r="1" ht="14.25" customHeight="1">
      <c r="A1" s="1"/>
      <c r="B1" s="2" t="s">
        <v>0</v>
      </c>
      <c r="C1" s="3" t="s">
        <v>1</v>
      </c>
      <c r="D1" s="2">
        <v>2025.0</v>
      </c>
      <c r="E1" s="4"/>
      <c r="F1" s="4"/>
    </row>
    <row r="2" ht="14.25" customHeight="1">
      <c r="A2" s="41" t="s">
        <v>28</v>
      </c>
      <c r="B2" s="6" t="s">
        <v>3</v>
      </c>
      <c r="C2" s="6" t="s">
        <v>4</v>
      </c>
      <c r="D2" s="6" t="s">
        <v>5</v>
      </c>
      <c r="E2" s="7" t="s">
        <v>6</v>
      </c>
      <c r="F2" s="7"/>
    </row>
    <row r="3" ht="14.25" customHeight="1">
      <c r="A3" s="8"/>
      <c r="B3" s="19">
        <v>0.4583333333333333</v>
      </c>
      <c r="C3" s="9">
        <v>0.8541666666666666</v>
      </c>
      <c r="D3" s="10"/>
      <c r="E3" s="11">
        <f t="shared" ref="E3:F3" si="1">SUM(E6:E36)</f>
        <v>0</v>
      </c>
      <c r="F3" s="11">
        <f t="shared" si="1"/>
        <v>0.07916666667</v>
      </c>
    </row>
    <row r="4" ht="14.25" customHeight="1">
      <c r="A4" s="12" t="s">
        <v>7</v>
      </c>
      <c r="B4" s="13"/>
      <c r="C4" s="14"/>
      <c r="D4" s="14"/>
      <c r="E4" s="13"/>
      <c r="F4" s="14"/>
    </row>
    <row r="5" ht="14.25" customHeight="1">
      <c r="A5" s="16" t="s">
        <v>8</v>
      </c>
      <c r="B5" s="17" t="s">
        <v>9</v>
      </c>
      <c r="C5" s="17" t="s">
        <v>10</v>
      </c>
      <c r="D5" s="17" t="s">
        <v>11</v>
      </c>
      <c r="E5" s="17" t="s">
        <v>6</v>
      </c>
      <c r="F5" s="17" t="s">
        <v>12</v>
      </c>
    </row>
    <row r="6" ht="14.25" customHeight="1">
      <c r="A6" s="18">
        <v>45901.0</v>
      </c>
      <c r="B6" s="19">
        <v>0.45625</v>
      </c>
      <c r="C6" s="9"/>
      <c r="D6" s="20">
        <f t="shared" ref="D6:D36" si="2">if(isblank(B6),"", mod((C6-B6),1))</f>
        <v>0.54375</v>
      </c>
      <c r="E6" s="20" t="str">
        <f t="shared" ref="E6:E36" si="3">IF(C6&gt;$C$3,C6-$C$3,"")</f>
        <v/>
      </c>
      <c r="F6" s="20">
        <f t="shared" ref="F6:F36" si="4">if(isblank(B6),"",IF($B$3&gt;B6,0,(B6-$B$3)))</f>
        <v>0</v>
      </c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ht="14.25" customHeight="1">
      <c r="A7" s="18">
        <v>45902.0</v>
      </c>
      <c r="B7" s="19">
        <v>0.4534722222222222</v>
      </c>
      <c r="C7" s="9"/>
      <c r="D7" s="20">
        <f t="shared" si="2"/>
        <v>0.5465277778</v>
      </c>
      <c r="E7" s="20" t="str">
        <f t="shared" si="3"/>
        <v/>
      </c>
      <c r="F7" s="20">
        <f t="shared" si="4"/>
        <v>0</v>
      </c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ht="14.25" customHeight="1">
      <c r="A8" s="18">
        <v>45903.0</v>
      </c>
      <c r="B8" s="22">
        <v>0.46875</v>
      </c>
      <c r="C8" s="68"/>
      <c r="D8" s="23">
        <f t="shared" si="2"/>
        <v>0.53125</v>
      </c>
      <c r="E8" s="23" t="str">
        <f t="shared" si="3"/>
        <v/>
      </c>
      <c r="F8" s="23">
        <f t="shared" si="4"/>
        <v>0.01041666667</v>
      </c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 ht="14.25" customHeight="1">
      <c r="A9" s="18">
        <v>45904.0</v>
      </c>
      <c r="B9" s="19">
        <v>0.46875</v>
      </c>
      <c r="C9" s="9"/>
      <c r="D9" s="20">
        <f t="shared" si="2"/>
        <v>0.53125</v>
      </c>
      <c r="E9" s="20" t="str">
        <f t="shared" si="3"/>
        <v/>
      </c>
      <c r="F9" s="20">
        <f t="shared" si="4"/>
        <v>0.01041666667</v>
      </c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 ht="14.25" customHeight="1">
      <c r="A10" s="29">
        <v>45905.0</v>
      </c>
      <c r="B10" s="43"/>
      <c r="C10" s="43"/>
      <c r="D10" s="44" t="str">
        <f t="shared" si="2"/>
        <v/>
      </c>
      <c r="E10" s="32" t="str">
        <f t="shared" si="3"/>
        <v/>
      </c>
      <c r="F10" s="38" t="str">
        <f t="shared" si="4"/>
        <v/>
      </c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 ht="14.25" customHeight="1">
      <c r="A11" s="29">
        <v>45906.0</v>
      </c>
      <c r="B11" s="30">
        <v>0.45555555555555555</v>
      </c>
      <c r="C11" s="35"/>
      <c r="D11" s="31">
        <f t="shared" si="2"/>
        <v>0.5444444444</v>
      </c>
      <c r="E11" s="32" t="str">
        <f t="shared" si="3"/>
        <v/>
      </c>
      <c r="F11" s="32">
        <f t="shared" si="4"/>
        <v>0</v>
      </c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ht="14.25" customHeight="1">
      <c r="A12" s="18">
        <v>45907.0</v>
      </c>
      <c r="B12" s="33">
        <v>0.4534722222222222</v>
      </c>
      <c r="C12" s="40"/>
      <c r="D12" s="34">
        <f t="shared" si="2"/>
        <v>0.5465277778</v>
      </c>
      <c r="E12" s="20" t="str">
        <f t="shared" si="3"/>
        <v/>
      </c>
      <c r="F12" s="20">
        <f t="shared" si="4"/>
        <v>0</v>
      </c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 ht="14.25" customHeight="1">
      <c r="A13" s="18">
        <v>45908.0</v>
      </c>
      <c r="B13" s="33">
        <v>0.5159722222222223</v>
      </c>
      <c r="C13" s="40"/>
      <c r="D13" s="34">
        <f t="shared" si="2"/>
        <v>0.4840277778</v>
      </c>
      <c r="E13" s="20" t="str">
        <f t="shared" si="3"/>
        <v/>
      </c>
      <c r="F13" s="20">
        <f t="shared" si="4"/>
        <v>0.05763888889</v>
      </c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ht="14.25" customHeight="1">
      <c r="A14" s="18">
        <v>45909.0</v>
      </c>
      <c r="B14" s="33">
        <v>0.45416666666666666</v>
      </c>
      <c r="C14" s="40"/>
      <c r="D14" s="34">
        <f t="shared" si="2"/>
        <v>0.5458333333</v>
      </c>
      <c r="E14" s="20" t="str">
        <f t="shared" si="3"/>
        <v/>
      </c>
      <c r="F14" s="20">
        <f t="shared" si="4"/>
        <v>0</v>
      </c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ht="14.25" customHeight="1">
      <c r="A15" s="18">
        <v>45910.0</v>
      </c>
      <c r="B15" s="33">
        <v>0.45625</v>
      </c>
      <c r="C15" s="40"/>
      <c r="D15" s="34">
        <f t="shared" si="2"/>
        <v>0.54375</v>
      </c>
      <c r="E15" s="20" t="str">
        <f t="shared" si="3"/>
        <v/>
      </c>
      <c r="F15" s="20">
        <f t="shared" si="4"/>
        <v>0</v>
      </c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ht="14.25" customHeight="1">
      <c r="A16" s="18">
        <v>45911.0</v>
      </c>
      <c r="B16" s="33">
        <v>0.45625</v>
      </c>
      <c r="C16" s="40"/>
      <c r="D16" s="34">
        <f t="shared" si="2"/>
        <v>0.54375</v>
      </c>
      <c r="E16" s="20" t="str">
        <f t="shared" si="3"/>
        <v/>
      </c>
      <c r="F16" s="20">
        <f t="shared" si="4"/>
        <v>0</v>
      </c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ht="14.25" customHeight="1">
      <c r="A17" s="29">
        <v>45912.0</v>
      </c>
      <c r="B17" s="35"/>
      <c r="C17" s="35"/>
      <c r="D17" s="31" t="str">
        <f t="shared" si="2"/>
        <v/>
      </c>
      <c r="E17" s="32" t="str">
        <f t="shared" si="3"/>
        <v/>
      </c>
      <c r="F17" s="32" t="str">
        <f t="shared" si="4"/>
        <v/>
      </c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ht="14.25" customHeight="1">
      <c r="A18" s="18">
        <v>45913.0</v>
      </c>
      <c r="B18" s="33">
        <v>0.45416666666666666</v>
      </c>
      <c r="C18" s="40"/>
      <c r="D18" s="34">
        <f t="shared" si="2"/>
        <v>0.5458333333</v>
      </c>
      <c r="E18" s="20" t="str">
        <f t="shared" si="3"/>
        <v/>
      </c>
      <c r="F18" s="20">
        <f t="shared" si="4"/>
        <v>0</v>
      </c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ht="14.25" customHeight="1">
      <c r="A19" s="18">
        <v>45914.0</v>
      </c>
      <c r="B19" s="36">
        <v>0.45416666666666666</v>
      </c>
      <c r="C19" s="40"/>
      <c r="D19" s="37">
        <f t="shared" si="2"/>
        <v>0.5458333333</v>
      </c>
      <c r="E19" s="23" t="str">
        <f t="shared" si="3"/>
        <v/>
      </c>
      <c r="F19" s="23">
        <f t="shared" si="4"/>
        <v>0</v>
      </c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ht="14.25" customHeight="1">
      <c r="A20" s="18">
        <v>45915.0</v>
      </c>
      <c r="B20" s="33">
        <v>0.45416666666666666</v>
      </c>
      <c r="C20" s="40"/>
      <c r="D20" s="34">
        <f t="shared" si="2"/>
        <v>0.5458333333</v>
      </c>
      <c r="E20" s="20" t="str">
        <f t="shared" si="3"/>
        <v/>
      </c>
      <c r="F20" s="20">
        <f t="shared" si="4"/>
        <v>0</v>
      </c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ht="14.25" customHeight="1">
      <c r="A21" s="18">
        <v>45916.0</v>
      </c>
      <c r="B21" s="33">
        <v>0.45416666666666666</v>
      </c>
      <c r="C21" s="40"/>
      <c r="D21" s="20">
        <f t="shared" si="2"/>
        <v>0.5458333333</v>
      </c>
      <c r="E21" s="20" t="str">
        <f t="shared" si="3"/>
        <v/>
      </c>
      <c r="F21" s="20">
        <f t="shared" si="4"/>
        <v>0</v>
      </c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ht="14.25" customHeight="1">
      <c r="A22" s="18">
        <v>45917.0</v>
      </c>
      <c r="B22" s="33">
        <v>0.45416666666666666</v>
      </c>
      <c r="C22" s="40"/>
      <c r="D22" s="23">
        <f t="shared" si="2"/>
        <v>0.5458333333</v>
      </c>
      <c r="E22" s="23" t="str">
        <f t="shared" si="3"/>
        <v/>
      </c>
      <c r="F22" s="23">
        <f t="shared" si="4"/>
        <v>0</v>
      </c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ht="14.25" customHeight="1">
      <c r="A23" s="18">
        <v>45918.0</v>
      </c>
      <c r="B23" s="33">
        <v>0.45</v>
      </c>
      <c r="C23" s="40"/>
      <c r="D23" s="20">
        <f t="shared" si="2"/>
        <v>0.55</v>
      </c>
      <c r="E23" s="20" t="str">
        <f t="shared" si="3"/>
        <v/>
      </c>
      <c r="F23" s="20">
        <f t="shared" si="4"/>
        <v>0</v>
      </c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ht="14.25" customHeight="1">
      <c r="A24" s="29">
        <v>45919.0</v>
      </c>
      <c r="B24" s="35"/>
      <c r="C24" s="35"/>
      <c r="D24" s="38" t="str">
        <f t="shared" si="2"/>
        <v/>
      </c>
      <c r="E24" s="32" t="str">
        <f t="shared" si="3"/>
        <v/>
      </c>
      <c r="F24" s="38" t="str">
        <f t="shared" si="4"/>
        <v/>
      </c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ht="14.25" customHeight="1">
      <c r="A25" s="18">
        <v>45920.0</v>
      </c>
      <c r="B25" s="33">
        <v>0.44930555555555557</v>
      </c>
      <c r="C25" s="40"/>
      <c r="D25" s="20">
        <f t="shared" si="2"/>
        <v>0.5506944444</v>
      </c>
      <c r="E25" s="20" t="str">
        <f t="shared" si="3"/>
        <v/>
      </c>
      <c r="F25" s="20">
        <f t="shared" si="4"/>
        <v>0</v>
      </c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ht="14.25" customHeight="1">
      <c r="A26" s="18">
        <v>45921.0</v>
      </c>
      <c r="B26" s="33">
        <v>0.4479166666666667</v>
      </c>
      <c r="C26" s="40"/>
      <c r="D26" s="23">
        <f t="shared" si="2"/>
        <v>0.5520833333</v>
      </c>
      <c r="E26" s="23" t="str">
        <f t="shared" si="3"/>
        <v/>
      </c>
      <c r="F26" s="23">
        <f t="shared" si="4"/>
        <v>0</v>
      </c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ht="14.25" customHeight="1">
      <c r="A27" s="18">
        <v>45922.0</v>
      </c>
      <c r="B27" s="33">
        <v>0.45694444444444443</v>
      </c>
      <c r="C27" s="40"/>
      <c r="D27" s="20">
        <f t="shared" si="2"/>
        <v>0.5430555556</v>
      </c>
      <c r="E27" s="20" t="str">
        <f t="shared" si="3"/>
        <v/>
      </c>
      <c r="F27" s="20">
        <f t="shared" si="4"/>
        <v>0</v>
      </c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ht="14.25" customHeight="1">
      <c r="A28" s="18">
        <v>45923.0</v>
      </c>
      <c r="B28" s="33">
        <v>0.4576388888888889</v>
      </c>
      <c r="C28" s="40"/>
      <c r="D28" s="20">
        <f t="shared" si="2"/>
        <v>0.5423611111</v>
      </c>
      <c r="E28" s="20" t="str">
        <f t="shared" si="3"/>
        <v/>
      </c>
      <c r="F28" s="20">
        <f t="shared" si="4"/>
        <v>0</v>
      </c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ht="14.25" customHeight="1">
      <c r="A29" s="18">
        <v>45924.0</v>
      </c>
      <c r="B29" s="33">
        <v>0.4527777777777778</v>
      </c>
      <c r="C29" s="40"/>
      <c r="D29" s="23">
        <f t="shared" si="2"/>
        <v>0.5472222222</v>
      </c>
      <c r="E29" s="23" t="str">
        <f t="shared" si="3"/>
        <v/>
      </c>
      <c r="F29" s="23">
        <f t="shared" si="4"/>
        <v>0</v>
      </c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 ht="14.25" customHeight="1">
      <c r="A30" s="18">
        <v>45925.0</v>
      </c>
      <c r="B30" s="33">
        <v>0.4513888888888889</v>
      </c>
      <c r="C30" s="40"/>
      <c r="D30" s="20">
        <f t="shared" si="2"/>
        <v>0.5486111111</v>
      </c>
      <c r="E30" s="20" t="str">
        <f t="shared" si="3"/>
        <v/>
      </c>
      <c r="F30" s="20">
        <f t="shared" si="4"/>
        <v>0</v>
      </c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 ht="14.25" customHeight="1">
      <c r="A31" s="62">
        <v>45926.0</v>
      </c>
      <c r="B31" s="63"/>
      <c r="C31" s="63"/>
      <c r="D31" s="69" t="str">
        <f t="shared" si="2"/>
        <v/>
      </c>
      <c r="E31" s="69" t="str">
        <f t="shared" si="3"/>
        <v/>
      </c>
      <c r="F31" s="69" t="str">
        <f t="shared" si="4"/>
        <v/>
      </c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 ht="14.25" customHeight="1">
      <c r="A32" s="18">
        <v>45927.0</v>
      </c>
      <c r="B32" s="33">
        <v>0.44305555555555554</v>
      </c>
      <c r="C32" s="40"/>
      <c r="D32" s="23">
        <f t="shared" si="2"/>
        <v>0.5569444444</v>
      </c>
      <c r="E32" s="20" t="str">
        <f t="shared" si="3"/>
        <v/>
      </c>
      <c r="F32" s="23">
        <f t="shared" si="4"/>
        <v>0</v>
      </c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 ht="14.25" customHeight="1">
      <c r="A33" s="18">
        <v>45928.0</v>
      </c>
      <c r="B33" s="33">
        <v>0.45902777777777776</v>
      </c>
      <c r="C33" s="40"/>
      <c r="D33" s="23">
        <f t="shared" si="2"/>
        <v>0.5409722222</v>
      </c>
      <c r="E33" s="20" t="str">
        <f t="shared" si="3"/>
        <v/>
      </c>
      <c r="F33" s="23">
        <f t="shared" si="4"/>
        <v>0.0006944444444</v>
      </c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ht="14.25" customHeight="1">
      <c r="A34" s="18">
        <v>45929.0</v>
      </c>
      <c r="B34" s="33">
        <v>0.45555555555555555</v>
      </c>
      <c r="C34" s="40"/>
      <c r="D34" s="20">
        <f t="shared" si="2"/>
        <v>0.5444444444</v>
      </c>
      <c r="E34" s="20" t="str">
        <f t="shared" si="3"/>
        <v/>
      </c>
      <c r="F34" s="20">
        <f t="shared" si="4"/>
        <v>0</v>
      </c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ht="14.25" customHeight="1">
      <c r="A35" s="18">
        <v>45930.0</v>
      </c>
      <c r="B35" s="33">
        <v>0.45694444444444443</v>
      </c>
      <c r="C35" s="40"/>
      <c r="D35" s="23">
        <f t="shared" si="2"/>
        <v>0.5430555556</v>
      </c>
      <c r="E35" s="23" t="str">
        <f t="shared" si="3"/>
        <v/>
      </c>
      <c r="F35" s="23">
        <f t="shared" si="4"/>
        <v>0</v>
      </c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ht="14.25" customHeight="1">
      <c r="A36" s="18"/>
      <c r="B36" s="40"/>
      <c r="C36" s="40"/>
      <c r="D36" s="23" t="str">
        <f t="shared" si="2"/>
        <v/>
      </c>
      <c r="E36" s="20" t="str">
        <f t="shared" si="3"/>
        <v/>
      </c>
      <c r="F36" s="23" t="str">
        <f t="shared" si="4"/>
        <v/>
      </c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ht="14.25" customHeight="1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2:A3"/>
  </mergeCell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15.86"/>
    <col customWidth="1" min="3" max="3" width="14.0"/>
    <col customWidth="1" min="4" max="4" width="13.86"/>
    <col customWidth="1" min="5" max="5" width="12.86"/>
    <col customWidth="1" min="6" max="6" width="14.14"/>
    <col customWidth="1" min="7" max="26" width="8.71"/>
  </cols>
  <sheetData>
    <row r="1" ht="14.25" customHeight="1">
      <c r="A1" s="1"/>
      <c r="B1" s="2" t="s">
        <v>0</v>
      </c>
      <c r="C1" s="3" t="s">
        <v>1</v>
      </c>
      <c r="D1" s="2">
        <v>2025.0</v>
      </c>
      <c r="E1" s="4"/>
      <c r="F1" s="4"/>
    </row>
    <row r="2" ht="14.25" customHeight="1">
      <c r="A2" s="41" t="s">
        <v>29</v>
      </c>
      <c r="B2" s="6" t="s">
        <v>3</v>
      </c>
      <c r="C2" s="6" t="s">
        <v>4</v>
      </c>
      <c r="D2" s="6" t="s">
        <v>5</v>
      </c>
      <c r="E2" s="7" t="s">
        <v>6</v>
      </c>
      <c r="F2" s="7"/>
    </row>
    <row r="3" ht="14.25" customHeight="1">
      <c r="A3" s="8"/>
      <c r="B3" s="19">
        <v>0.4583333333333333</v>
      </c>
      <c r="C3" s="9">
        <v>0.8541666666666666</v>
      </c>
      <c r="D3" s="10"/>
      <c r="E3" s="11">
        <f t="shared" ref="E3:F3" si="1">SUM(E6:E36)</f>
        <v>0</v>
      </c>
      <c r="F3" s="11">
        <f t="shared" si="1"/>
        <v>0.2944444444</v>
      </c>
    </row>
    <row r="4" ht="14.25" customHeight="1">
      <c r="A4" s="12" t="s">
        <v>7</v>
      </c>
      <c r="B4" s="13"/>
      <c r="C4" s="14"/>
      <c r="D4" s="14"/>
      <c r="E4" s="13"/>
      <c r="F4" s="14"/>
    </row>
    <row r="5" ht="14.25" customHeight="1">
      <c r="A5" s="16" t="s">
        <v>8</v>
      </c>
      <c r="B5" s="17" t="s">
        <v>9</v>
      </c>
      <c r="C5" s="17" t="s">
        <v>10</v>
      </c>
      <c r="D5" s="17" t="s">
        <v>11</v>
      </c>
      <c r="E5" s="17" t="s">
        <v>6</v>
      </c>
      <c r="F5" s="17" t="s">
        <v>12</v>
      </c>
    </row>
    <row r="6" ht="14.25" customHeight="1">
      <c r="A6" s="18">
        <v>45901.0</v>
      </c>
      <c r="B6" s="19">
        <v>0.45694444444444443</v>
      </c>
      <c r="C6" s="9"/>
      <c r="D6" s="20">
        <f t="shared" ref="D6:D36" si="2">if(isblank(B6),"", mod((C6-B6),1))</f>
        <v>0.5430555556</v>
      </c>
      <c r="E6" s="20" t="str">
        <f t="shared" ref="E6:E36" si="3">IF(C6&gt;$C$3,C6-$C$3,"")</f>
        <v/>
      </c>
      <c r="F6" s="20">
        <f t="shared" ref="F6:F36" si="4">if(isblank(B6),"",IF($B$3&gt;B6,0,(B6-$B$3)))</f>
        <v>0</v>
      </c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ht="14.25" customHeight="1">
      <c r="A7" s="18">
        <v>45902.0</v>
      </c>
      <c r="B7" s="19">
        <v>0.4576388888888889</v>
      </c>
      <c r="C7" s="9"/>
      <c r="D7" s="20">
        <f t="shared" si="2"/>
        <v>0.5423611111</v>
      </c>
      <c r="E7" s="20" t="str">
        <f t="shared" si="3"/>
        <v/>
      </c>
      <c r="F7" s="20">
        <f t="shared" si="4"/>
        <v>0</v>
      </c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ht="14.25" customHeight="1">
      <c r="A8" s="18">
        <v>45903.0</v>
      </c>
      <c r="B8" s="70">
        <v>0.5222222222222223</v>
      </c>
      <c r="C8" s="68"/>
      <c r="D8" s="23">
        <f t="shared" si="2"/>
        <v>0.4777777778</v>
      </c>
      <c r="E8" s="23" t="str">
        <f t="shared" si="3"/>
        <v/>
      </c>
      <c r="F8" s="23">
        <f t="shared" si="4"/>
        <v>0.06388888889</v>
      </c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 ht="14.25" customHeight="1">
      <c r="A9" s="18">
        <v>45904.0</v>
      </c>
      <c r="B9" s="19">
        <v>0.45069444444444445</v>
      </c>
      <c r="C9" s="9"/>
      <c r="D9" s="20">
        <f t="shared" si="2"/>
        <v>0.5493055556</v>
      </c>
      <c r="E9" s="20" t="str">
        <f t="shared" si="3"/>
        <v/>
      </c>
      <c r="F9" s="20">
        <f t="shared" si="4"/>
        <v>0</v>
      </c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 ht="14.25" customHeight="1">
      <c r="A10" s="29">
        <v>45905.0</v>
      </c>
      <c r="B10" s="43"/>
      <c r="C10" s="43"/>
      <c r="D10" s="44" t="str">
        <f t="shared" si="2"/>
        <v/>
      </c>
      <c r="E10" s="32" t="str">
        <f t="shared" si="3"/>
        <v/>
      </c>
      <c r="F10" s="38" t="str">
        <f t="shared" si="4"/>
        <v/>
      </c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 ht="14.25" customHeight="1">
      <c r="A11" s="29">
        <v>45906.0</v>
      </c>
      <c r="B11" s="30">
        <v>0.45694444444444443</v>
      </c>
      <c r="C11" s="35"/>
      <c r="D11" s="31">
        <f t="shared" si="2"/>
        <v>0.5430555556</v>
      </c>
      <c r="E11" s="32" t="str">
        <f t="shared" si="3"/>
        <v/>
      </c>
      <c r="F11" s="32">
        <f t="shared" si="4"/>
        <v>0</v>
      </c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ht="14.25" customHeight="1">
      <c r="A12" s="18">
        <v>45907.0</v>
      </c>
      <c r="B12" s="33">
        <v>0.45694444444444443</v>
      </c>
      <c r="C12" s="40"/>
      <c r="D12" s="34">
        <f t="shared" si="2"/>
        <v>0.5430555556</v>
      </c>
      <c r="E12" s="20" t="str">
        <f t="shared" si="3"/>
        <v/>
      </c>
      <c r="F12" s="20">
        <f t="shared" si="4"/>
        <v>0</v>
      </c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 ht="14.25" customHeight="1">
      <c r="A13" s="18">
        <v>45908.0</v>
      </c>
      <c r="B13" s="71">
        <v>0.4652777777777778</v>
      </c>
      <c r="C13" s="40"/>
      <c r="D13" s="34">
        <f t="shared" si="2"/>
        <v>0.5347222222</v>
      </c>
      <c r="E13" s="20" t="str">
        <f t="shared" si="3"/>
        <v/>
      </c>
      <c r="F13" s="20">
        <f t="shared" si="4"/>
        <v>0.006944444444</v>
      </c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ht="14.25" customHeight="1">
      <c r="A14" s="18">
        <v>45909.0</v>
      </c>
      <c r="B14" s="71">
        <v>0.4638888888888889</v>
      </c>
      <c r="C14" s="40"/>
      <c r="D14" s="34">
        <f t="shared" si="2"/>
        <v>0.5361111111</v>
      </c>
      <c r="E14" s="20" t="str">
        <f t="shared" si="3"/>
        <v/>
      </c>
      <c r="F14" s="20">
        <f t="shared" si="4"/>
        <v>0.005555555556</v>
      </c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ht="14.25" customHeight="1">
      <c r="A15" s="18">
        <v>45910.0</v>
      </c>
      <c r="B15" s="33">
        <v>0.4583333333333333</v>
      </c>
      <c r="C15" s="40"/>
      <c r="D15" s="34">
        <f t="shared" si="2"/>
        <v>0.5416666667</v>
      </c>
      <c r="E15" s="20" t="str">
        <f t="shared" si="3"/>
        <v/>
      </c>
      <c r="F15" s="20">
        <f t="shared" si="4"/>
        <v>0</v>
      </c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ht="14.25" customHeight="1">
      <c r="A16" s="18">
        <v>45911.0</v>
      </c>
      <c r="B16" s="71">
        <v>0.4777777777777778</v>
      </c>
      <c r="C16" s="40"/>
      <c r="D16" s="34">
        <f t="shared" si="2"/>
        <v>0.5222222222</v>
      </c>
      <c r="E16" s="20" t="str">
        <f t="shared" si="3"/>
        <v/>
      </c>
      <c r="F16" s="20">
        <f t="shared" si="4"/>
        <v>0.01944444444</v>
      </c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ht="14.25" customHeight="1">
      <c r="A17" s="29">
        <v>45912.0</v>
      </c>
      <c r="B17" s="35"/>
      <c r="C17" s="35"/>
      <c r="D17" s="31" t="str">
        <f t="shared" si="2"/>
        <v/>
      </c>
      <c r="E17" s="32" t="str">
        <f t="shared" si="3"/>
        <v/>
      </c>
      <c r="F17" s="32" t="str">
        <f t="shared" si="4"/>
        <v/>
      </c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ht="14.25" customHeight="1">
      <c r="A18" s="18">
        <v>45913.0</v>
      </c>
      <c r="B18" s="33">
        <v>0.45</v>
      </c>
      <c r="C18" s="40"/>
      <c r="D18" s="34">
        <f t="shared" si="2"/>
        <v>0.55</v>
      </c>
      <c r="E18" s="20" t="str">
        <f t="shared" si="3"/>
        <v/>
      </c>
      <c r="F18" s="20">
        <f t="shared" si="4"/>
        <v>0</v>
      </c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ht="14.25" customHeight="1">
      <c r="A19" s="47">
        <v>45914.0</v>
      </c>
      <c r="B19" s="52"/>
      <c r="C19" s="48"/>
      <c r="D19" s="53" t="str">
        <f t="shared" si="2"/>
        <v/>
      </c>
      <c r="E19" s="49" t="str">
        <f t="shared" si="3"/>
        <v/>
      </c>
      <c r="F19" s="49" t="str">
        <f t="shared" si="4"/>
        <v/>
      </c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ht="14.25" customHeight="1">
      <c r="A20" s="18">
        <v>45915.0</v>
      </c>
      <c r="B20" s="33">
        <v>0.4576388888888889</v>
      </c>
      <c r="C20" s="40"/>
      <c r="D20" s="34">
        <f t="shared" si="2"/>
        <v>0.5423611111</v>
      </c>
      <c r="E20" s="20" t="str">
        <f t="shared" si="3"/>
        <v/>
      </c>
      <c r="F20" s="20">
        <f t="shared" si="4"/>
        <v>0</v>
      </c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ht="14.25" customHeight="1">
      <c r="A21" s="18">
        <v>45916.0</v>
      </c>
      <c r="B21" s="33">
        <v>0.4583333333333333</v>
      </c>
      <c r="C21" s="40"/>
      <c r="D21" s="20">
        <f t="shared" si="2"/>
        <v>0.5416666667</v>
      </c>
      <c r="E21" s="20" t="str">
        <f t="shared" si="3"/>
        <v/>
      </c>
      <c r="F21" s="20">
        <f t="shared" si="4"/>
        <v>0</v>
      </c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ht="14.25" customHeight="1">
      <c r="A22" s="18">
        <v>45917.0</v>
      </c>
      <c r="B22" s="71">
        <v>0.46458333333333335</v>
      </c>
      <c r="C22" s="40"/>
      <c r="D22" s="23">
        <f t="shared" si="2"/>
        <v>0.5354166667</v>
      </c>
      <c r="E22" s="23" t="str">
        <f t="shared" si="3"/>
        <v/>
      </c>
      <c r="F22" s="23">
        <f t="shared" si="4"/>
        <v>0.00625</v>
      </c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ht="14.25" customHeight="1">
      <c r="A23" s="18">
        <v>45918.0</v>
      </c>
      <c r="B23" s="33">
        <v>0.4527777777777778</v>
      </c>
      <c r="C23" s="40"/>
      <c r="D23" s="20">
        <f t="shared" si="2"/>
        <v>0.5472222222</v>
      </c>
      <c r="E23" s="20" t="str">
        <f t="shared" si="3"/>
        <v/>
      </c>
      <c r="F23" s="20">
        <f t="shared" si="4"/>
        <v>0</v>
      </c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ht="14.25" customHeight="1">
      <c r="A24" s="29">
        <v>45919.0</v>
      </c>
      <c r="B24" s="35"/>
      <c r="C24" s="35"/>
      <c r="D24" s="38" t="str">
        <f t="shared" si="2"/>
        <v/>
      </c>
      <c r="E24" s="32" t="str">
        <f t="shared" si="3"/>
        <v/>
      </c>
      <c r="F24" s="38" t="str">
        <f t="shared" si="4"/>
        <v/>
      </c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ht="14.25" customHeight="1">
      <c r="A25" s="18">
        <v>45920.0</v>
      </c>
      <c r="B25" s="71">
        <v>0.5361111111111111</v>
      </c>
      <c r="C25" s="40"/>
      <c r="D25" s="20">
        <f t="shared" si="2"/>
        <v>0.4638888889</v>
      </c>
      <c r="E25" s="20" t="str">
        <f t="shared" si="3"/>
        <v/>
      </c>
      <c r="F25" s="20">
        <f t="shared" si="4"/>
        <v>0.07777777778</v>
      </c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ht="14.25" customHeight="1">
      <c r="A26" s="18">
        <v>45921.0</v>
      </c>
      <c r="B26" s="71">
        <v>0.46041666666666664</v>
      </c>
      <c r="C26" s="40"/>
      <c r="D26" s="23">
        <f t="shared" si="2"/>
        <v>0.5395833333</v>
      </c>
      <c r="E26" s="23" t="str">
        <f t="shared" si="3"/>
        <v/>
      </c>
      <c r="F26" s="23">
        <f t="shared" si="4"/>
        <v>0.002083333333</v>
      </c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ht="14.25" customHeight="1">
      <c r="A27" s="18">
        <v>45922.0</v>
      </c>
      <c r="B27" s="71">
        <v>0.4840277777777778</v>
      </c>
      <c r="C27" s="40"/>
      <c r="D27" s="20">
        <f t="shared" si="2"/>
        <v>0.5159722222</v>
      </c>
      <c r="E27" s="20" t="str">
        <f t="shared" si="3"/>
        <v/>
      </c>
      <c r="F27" s="20">
        <f t="shared" si="4"/>
        <v>0.02569444444</v>
      </c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ht="14.25" customHeight="1">
      <c r="A28" s="18">
        <v>45923.0</v>
      </c>
      <c r="B28" s="33">
        <v>0.45902777777777776</v>
      </c>
      <c r="C28" s="40"/>
      <c r="D28" s="20">
        <f t="shared" si="2"/>
        <v>0.5409722222</v>
      </c>
      <c r="E28" s="20" t="str">
        <f t="shared" si="3"/>
        <v/>
      </c>
      <c r="F28" s="20">
        <f t="shared" si="4"/>
        <v>0.0006944444444</v>
      </c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ht="14.25" customHeight="1">
      <c r="A29" s="18">
        <v>45924.0</v>
      </c>
      <c r="B29" s="33">
        <v>0.45694444444444443</v>
      </c>
      <c r="C29" s="40"/>
      <c r="D29" s="23">
        <f t="shared" si="2"/>
        <v>0.5430555556</v>
      </c>
      <c r="E29" s="23" t="str">
        <f t="shared" si="3"/>
        <v/>
      </c>
      <c r="F29" s="23">
        <f t="shared" si="4"/>
        <v>0</v>
      </c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 ht="14.25" customHeight="1">
      <c r="A30" s="18">
        <v>45925.0</v>
      </c>
      <c r="B30" s="33">
        <v>0.45694444444444443</v>
      </c>
      <c r="C30" s="40"/>
      <c r="D30" s="20">
        <f t="shared" si="2"/>
        <v>0.5430555556</v>
      </c>
      <c r="E30" s="20" t="str">
        <f t="shared" si="3"/>
        <v/>
      </c>
      <c r="F30" s="20">
        <f t="shared" si="4"/>
        <v>0</v>
      </c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 ht="14.25" customHeight="1">
      <c r="A31" s="29">
        <v>45926.0</v>
      </c>
      <c r="B31" s="35"/>
      <c r="C31" s="35"/>
      <c r="D31" s="38" t="str">
        <f t="shared" si="2"/>
        <v/>
      </c>
      <c r="E31" s="38" t="str">
        <f t="shared" si="3"/>
        <v/>
      </c>
      <c r="F31" s="38" t="str">
        <f t="shared" si="4"/>
        <v/>
      </c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 ht="14.25" customHeight="1">
      <c r="A32" s="18">
        <v>45927.0</v>
      </c>
      <c r="B32" s="71">
        <v>0.5111111111111111</v>
      </c>
      <c r="C32" s="40"/>
      <c r="D32" s="23">
        <f t="shared" si="2"/>
        <v>0.4888888889</v>
      </c>
      <c r="E32" s="20" t="str">
        <f t="shared" si="3"/>
        <v/>
      </c>
      <c r="F32" s="23">
        <f t="shared" si="4"/>
        <v>0.05277777778</v>
      </c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 ht="14.25" customHeight="1">
      <c r="A33" s="18">
        <v>45928.0</v>
      </c>
      <c r="B33" s="71">
        <v>0.4597222222222222</v>
      </c>
      <c r="C33" s="40"/>
      <c r="D33" s="23">
        <f t="shared" si="2"/>
        <v>0.5402777778</v>
      </c>
      <c r="E33" s="20" t="str">
        <f t="shared" si="3"/>
        <v/>
      </c>
      <c r="F33" s="23">
        <f t="shared" si="4"/>
        <v>0.001388888889</v>
      </c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ht="14.25" customHeight="1">
      <c r="A34" s="18">
        <v>45929.0</v>
      </c>
      <c r="B34" s="71">
        <v>0.49027777777777776</v>
      </c>
      <c r="C34" s="40"/>
      <c r="D34" s="20">
        <f t="shared" si="2"/>
        <v>0.5097222222</v>
      </c>
      <c r="E34" s="20" t="str">
        <f t="shared" si="3"/>
        <v/>
      </c>
      <c r="F34" s="20">
        <f t="shared" si="4"/>
        <v>0.03194444444</v>
      </c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ht="14.25" customHeight="1">
      <c r="A35" s="18">
        <v>45930.0</v>
      </c>
      <c r="B35" s="33">
        <v>0.45694444444444443</v>
      </c>
      <c r="C35" s="40"/>
      <c r="D35" s="23">
        <f t="shared" si="2"/>
        <v>0.5430555556</v>
      </c>
      <c r="E35" s="23" t="str">
        <f t="shared" si="3"/>
        <v/>
      </c>
      <c r="F35" s="23">
        <f t="shared" si="4"/>
        <v>0</v>
      </c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ht="14.25" customHeight="1">
      <c r="A36" s="18"/>
      <c r="B36" s="40"/>
      <c r="C36" s="40"/>
      <c r="D36" s="23" t="str">
        <f t="shared" si="2"/>
        <v/>
      </c>
      <c r="E36" s="20" t="str">
        <f t="shared" si="3"/>
        <v/>
      </c>
      <c r="F36" s="23" t="str">
        <f t="shared" si="4"/>
        <v/>
      </c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ht="14.25" customHeight="1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2:A3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2024-04-02T04:56:27Z</dcterms:created>
  <dc:creator>Mohammad Sayem</dc:creator>
</cp:coreProperties>
</file>