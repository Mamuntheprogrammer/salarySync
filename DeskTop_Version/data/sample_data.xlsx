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ttensync\salarySync\DeskTop_Version\data\"/>
    </mc:Choice>
  </mc:AlternateContent>
  <xr:revisionPtr revIDLastSave="0" documentId="13_ncr:1_{0D631882-5FAC-408E-B796-B23E0AC871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_List" sheetId="16" r:id="rId1"/>
    <sheet name="Mehedi" sheetId="1" r:id="rId2"/>
    <sheet name="Sayem" sheetId="2" r:id="rId3"/>
    <sheet name="Mishad" sheetId="3" r:id="rId4"/>
    <sheet name="Samiul" sheetId="4" r:id="rId5"/>
    <sheet name="Shantu" sheetId="5" r:id="rId6"/>
    <sheet name="Biplob" sheetId="6" r:id="rId7"/>
    <sheet name="Siam" sheetId="7" r:id="rId8"/>
    <sheet name="Mamun" sheetId="8" r:id="rId9"/>
    <sheet name="Sanowar" sheetId="9" r:id="rId10"/>
    <sheet name="Rony" sheetId="10" r:id="rId11"/>
    <sheet name="Rana" sheetId="11" r:id="rId12"/>
    <sheet name="Rina" sheetId="12" r:id="rId13"/>
    <sheet name="Shewly" sheetId="13" r:id="rId14"/>
    <sheet name="Jumman" sheetId="14" r:id="rId15"/>
    <sheet name="Hossain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TwO5dpu+aZYMtmImcXplgkspjvcasel4iP7+pIypXcw="/>
    </ext>
  </extLst>
</workbook>
</file>

<file path=xl/calcChain.xml><?xml version="1.0" encoding="utf-8"?>
<calcChain xmlns="http://schemas.openxmlformats.org/spreadsheetml/2006/main">
  <c r="F36" i="15" l="1"/>
  <c r="E36" i="15"/>
  <c r="D36" i="15"/>
  <c r="F35" i="15"/>
  <c r="E35" i="15"/>
  <c r="D35" i="15"/>
  <c r="F34" i="15"/>
  <c r="E34" i="15"/>
  <c r="D34" i="15"/>
  <c r="F33" i="15"/>
  <c r="E33" i="15"/>
  <c r="D33" i="15"/>
  <c r="F32" i="15"/>
  <c r="E32" i="15"/>
  <c r="D32" i="15"/>
  <c r="F31" i="15"/>
  <c r="E31" i="15"/>
  <c r="D31" i="15"/>
  <c r="F30" i="15"/>
  <c r="E30" i="15"/>
  <c r="D30" i="15"/>
  <c r="F29" i="15"/>
  <c r="E29" i="15"/>
  <c r="D29" i="15"/>
  <c r="F28" i="15"/>
  <c r="E28" i="15"/>
  <c r="D28" i="15"/>
  <c r="F27" i="15"/>
  <c r="E27" i="15"/>
  <c r="D27" i="15"/>
  <c r="F26" i="15"/>
  <c r="E26" i="15"/>
  <c r="D26" i="15"/>
  <c r="F25" i="15"/>
  <c r="E25" i="15"/>
  <c r="D25" i="15"/>
  <c r="F24" i="15"/>
  <c r="E24" i="15"/>
  <c r="D24" i="15"/>
  <c r="F23" i="15"/>
  <c r="E23" i="15"/>
  <c r="D23" i="15"/>
  <c r="F22" i="15"/>
  <c r="E22" i="15"/>
  <c r="D22" i="15"/>
  <c r="F21" i="15"/>
  <c r="E21" i="15"/>
  <c r="D21" i="15"/>
  <c r="F20" i="15"/>
  <c r="E20" i="15"/>
  <c r="D20" i="15"/>
  <c r="F19" i="15"/>
  <c r="E19" i="15"/>
  <c r="D19" i="15"/>
  <c r="F18" i="15"/>
  <c r="E18" i="15"/>
  <c r="D18" i="15"/>
  <c r="F17" i="15"/>
  <c r="E17" i="15"/>
  <c r="D17" i="15"/>
  <c r="F16" i="15"/>
  <c r="E16" i="15"/>
  <c r="D16" i="15"/>
  <c r="F15" i="15"/>
  <c r="E15" i="15"/>
  <c r="D15" i="15"/>
  <c r="F14" i="15"/>
  <c r="E14" i="15"/>
  <c r="D14" i="15"/>
  <c r="F13" i="15"/>
  <c r="E13" i="15"/>
  <c r="D13" i="15"/>
  <c r="F12" i="15"/>
  <c r="E12" i="15"/>
  <c r="D12" i="1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6" i="15"/>
  <c r="F3" i="15" s="1"/>
  <c r="E6" i="15"/>
  <c r="D6" i="15"/>
  <c r="E3" i="15"/>
  <c r="F36" i="14"/>
  <c r="E36" i="14"/>
  <c r="D36" i="14"/>
  <c r="F35" i="14"/>
  <c r="E35" i="14"/>
  <c r="D35" i="14"/>
  <c r="F34" i="14"/>
  <c r="E34" i="14"/>
  <c r="D34" i="14"/>
  <c r="F33" i="14"/>
  <c r="E33" i="14"/>
  <c r="D33" i="14"/>
  <c r="F32" i="14"/>
  <c r="E32" i="14"/>
  <c r="D32" i="14"/>
  <c r="F31" i="14"/>
  <c r="E31" i="14"/>
  <c r="D31" i="14"/>
  <c r="F30" i="14"/>
  <c r="E30" i="14"/>
  <c r="D30" i="14"/>
  <c r="F29" i="14"/>
  <c r="E29" i="14"/>
  <c r="D29" i="14"/>
  <c r="F28" i="14"/>
  <c r="E28" i="14"/>
  <c r="D28" i="14"/>
  <c r="F27" i="14"/>
  <c r="E27" i="14"/>
  <c r="D27" i="14"/>
  <c r="F26" i="14"/>
  <c r="E26" i="14"/>
  <c r="D26" i="14"/>
  <c r="F25" i="14"/>
  <c r="E25" i="14"/>
  <c r="D25" i="14"/>
  <c r="F24" i="14"/>
  <c r="E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9" i="14"/>
  <c r="E19" i="14"/>
  <c r="D19" i="14"/>
  <c r="F18" i="14"/>
  <c r="E18" i="14"/>
  <c r="D18" i="14"/>
  <c r="F17" i="14"/>
  <c r="E17" i="14"/>
  <c r="D17" i="14"/>
  <c r="F16" i="14"/>
  <c r="E16" i="14"/>
  <c r="D16" i="14"/>
  <c r="F15" i="14"/>
  <c r="E15" i="14"/>
  <c r="D15" i="14"/>
  <c r="F14" i="14"/>
  <c r="E14" i="14"/>
  <c r="D14" i="14"/>
  <c r="F13" i="14"/>
  <c r="E13" i="14"/>
  <c r="D13" i="14"/>
  <c r="F12" i="14"/>
  <c r="E12" i="14"/>
  <c r="D12" i="14"/>
  <c r="F11" i="14"/>
  <c r="E11" i="14"/>
  <c r="D11" i="14"/>
  <c r="F10" i="14"/>
  <c r="E10" i="14"/>
  <c r="D10" i="14"/>
  <c r="F9" i="14"/>
  <c r="E9" i="14"/>
  <c r="D9" i="14"/>
  <c r="F8" i="14"/>
  <c r="E8" i="14"/>
  <c r="D8" i="14"/>
  <c r="F7" i="14"/>
  <c r="E7" i="14"/>
  <c r="D7" i="14"/>
  <c r="F6" i="14"/>
  <c r="F3" i="14" s="1"/>
  <c r="E6" i="14"/>
  <c r="E3" i="14" s="1"/>
  <c r="D6" i="14"/>
  <c r="F36" i="13"/>
  <c r="E36" i="13"/>
  <c r="D36" i="13"/>
  <c r="F35" i="13"/>
  <c r="E35" i="13"/>
  <c r="D35" i="13"/>
  <c r="F34" i="13"/>
  <c r="E34" i="13"/>
  <c r="D34" i="13"/>
  <c r="F33" i="13"/>
  <c r="E33" i="13"/>
  <c r="D33" i="13"/>
  <c r="F32" i="13"/>
  <c r="E32" i="13"/>
  <c r="D32" i="13"/>
  <c r="F31" i="13"/>
  <c r="E31" i="13"/>
  <c r="D31" i="13"/>
  <c r="F30" i="13"/>
  <c r="E30" i="13"/>
  <c r="D30" i="13"/>
  <c r="F29" i="13"/>
  <c r="E29" i="13"/>
  <c r="D29" i="13"/>
  <c r="F28" i="13"/>
  <c r="E28" i="13"/>
  <c r="D28" i="13"/>
  <c r="F27" i="13"/>
  <c r="E27" i="13"/>
  <c r="D27" i="13"/>
  <c r="F26" i="13"/>
  <c r="E26" i="13"/>
  <c r="D26" i="13"/>
  <c r="F25" i="13"/>
  <c r="E25" i="13"/>
  <c r="D25" i="13"/>
  <c r="F24" i="13"/>
  <c r="E24" i="13"/>
  <c r="D24" i="13"/>
  <c r="F23" i="13"/>
  <c r="E23" i="13"/>
  <c r="D23" i="13"/>
  <c r="F22" i="13"/>
  <c r="E22" i="13"/>
  <c r="D22" i="13"/>
  <c r="F21" i="13"/>
  <c r="E21" i="13"/>
  <c r="D21" i="13"/>
  <c r="F20" i="13"/>
  <c r="E20" i="13"/>
  <c r="D20" i="13"/>
  <c r="F19" i="13"/>
  <c r="E19" i="13"/>
  <c r="D19" i="13"/>
  <c r="F18" i="13"/>
  <c r="E18" i="13"/>
  <c r="D18" i="13"/>
  <c r="F17" i="13"/>
  <c r="E17" i="13"/>
  <c r="D17" i="13"/>
  <c r="F16" i="13"/>
  <c r="E16" i="13"/>
  <c r="D16" i="13"/>
  <c r="F15" i="13"/>
  <c r="E15" i="13"/>
  <c r="D15" i="13"/>
  <c r="F14" i="13"/>
  <c r="E14" i="13"/>
  <c r="D14" i="13"/>
  <c r="F13" i="13"/>
  <c r="E13" i="13"/>
  <c r="D13" i="13"/>
  <c r="F12" i="13"/>
  <c r="E12" i="13"/>
  <c r="D12" i="13"/>
  <c r="F11" i="13"/>
  <c r="E11" i="13"/>
  <c r="D11" i="13"/>
  <c r="F10" i="13"/>
  <c r="E10" i="13"/>
  <c r="D10" i="13"/>
  <c r="F9" i="13"/>
  <c r="E9" i="13"/>
  <c r="D9" i="13"/>
  <c r="F8" i="13"/>
  <c r="F3" i="13" s="1"/>
  <c r="E8" i="13"/>
  <c r="D8" i="13"/>
  <c r="F7" i="13"/>
  <c r="E7" i="13"/>
  <c r="D7" i="13"/>
  <c r="F6" i="13"/>
  <c r="E6" i="13"/>
  <c r="E3" i="13" s="1"/>
  <c r="D6" i="13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F11" i="12"/>
  <c r="E11" i="12"/>
  <c r="D11" i="12"/>
  <c r="F10" i="12"/>
  <c r="E10" i="12"/>
  <c r="D10" i="12"/>
  <c r="F9" i="12"/>
  <c r="E9" i="12"/>
  <c r="D9" i="12"/>
  <c r="F8" i="12"/>
  <c r="E8" i="12"/>
  <c r="E3" i="12" s="1"/>
  <c r="D8" i="12"/>
  <c r="F7" i="12"/>
  <c r="E7" i="12"/>
  <c r="D7" i="12"/>
  <c r="F6" i="12"/>
  <c r="F3" i="12" s="1"/>
  <c r="E6" i="12"/>
  <c r="D6" i="12"/>
  <c r="F36" i="11"/>
  <c r="E36" i="11"/>
  <c r="D36" i="11"/>
  <c r="F35" i="11"/>
  <c r="E35" i="11"/>
  <c r="D35" i="11"/>
  <c r="F34" i="11"/>
  <c r="E34" i="11"/>
  <c r="D34" i="11"/>
  <c r="F33" i="11"/>
  <c r="E33" i="11"/>
  <c r="D33" i="11"/>
  <c r="F32" i="11"/>
  <c r="E32" i="11"/>
  <c r="D32" i="11"/>
  <c r="F31" i="11"/>
  <c r="E31" i="11"/>
  <c r="D31" i="11"/>
  <c r="F30" i="11"/>
  <c r="E30" i="11"/>
  <c r="D30" i="11"/>
  <c r="F29" i="11"/>
  <c r="E29" i="11"/>
  <c r="D29" i="11"/>
  <c r="F28" i="11"/>
  <c r="E28" i="11"/>
  <c r="D28" i="11"/>
  <c r="F27" i="11"/>
  <c r="E27" i="11"/>
  <c r="D27" i="11"/>
  <c r="F26" i="11"/>
  <c r="E26" i="11"/>
  <c r="D26" i="11"/>
  <c r="F25" i="11"/>
  <c r="E25" i="11"/>
  <c r="D25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5" i="11"/>
  <c r="E15" i="11"/>
  <c r="D15" i="11"/>
  <c r="F14" i="11"/>
  <c r="E14" i="11"/>
  <c r="D14" i="11"/>
  <c r="F13" i="11"/>
  <c r="E13" i="11"/>
  <c r="D13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E3" i="11" s="1"/>
  <c r="H3" i="11" s="1"/>
  <c r="D8" i="11"/>
  <c r="F7" i="11"/>
  <c r="E7" i="11"/>
  <c r="D7" i="11"/>
  <c r="F6" i="11"/>
  <c r="F3" i="11" s="1"/>
  <c r="E6" i="11"/>
  <c r="D6" i="11"/>
  <c r="F36" i="10"/>
  <c r="E36" i="10"/>
  <c r="D36" i="10"/>
  <c r="F35" i="10"/>
  <c r="E35" i="10"/>
  <c r="D35" i="10"/>
  <c r="F34" i="10"/>
  <c r="E34" i="10"/>
  <c r="D34" i="10"/>
  <c r="F33" i="10"/>
  <c r="E33" i="10"/>
  <c r="D33" i="10"/>
  <c r="F32" i="10"/>
  <c r="E32" i="10"/>
  <c r="D32" i="10"/>
  <c r="F31" i="10"/>
  <c r="E31" i="10"/>
  <c r="D31" i="10"/>
  <c r="F30" i="10"/>
  <c r="E30" i="10"/>
  <c r="D30" i="10"/>
  <c r="F29" i="10"/>
  <c r="E29" i="10"/>
  <c r="D29" i="10"/>
  <c r="F28" i="10"/>
  <c r="E28" i="10"/>
  <c r="D28" i="10"/>
  <c r="F27" i="10"/>
  <c r="E27" i="10"/>
  <c r="D27" i="10"/>
  <c r="F26" i="10"/>
  <c r="E26" i="10"/>
  <c r="D26" i="10"/>
  <c r="F25" i="10"/>
  <c r="E25" i="10"/>
  <c r="D25" i="10"/>
  <c r="F24" i="10"/>
  <c r="E24" i="10"/>
  <c r="D24" i="10"/>
  <c r="F23" i="10"/>
  <c r="E23" i="10"/>
  <c r="D23" i="10"/>
  <c r="F22" i="10"/>
  <c r="E22" i="10"/>
  <c r="D22" i="10"/>
  <c r="F21" i="10"/>
  <c r="E21" i="10"/>
  <c r="D21" i="10"/>
  <c r="F20" i="10"/>
  <c r="E20" i="10"/>
  <c r="D20" i="10"/>
  <c r="F19" i="10"/>
  <c r="E19" i="10"/>
  <c r="D19" i="10"/>
  <c r="F18" i="10"/>
  <c r="E18" i="10"/>
  <c r="D18" i="10"/>
  <c r="F17" i="10"/>
  <c r="E17" i="10"/>
  <c r="D17" i="10"/>
  <c r="F16" i="10"/>
  <c r="E16" i="10"/>
  <c r="D16" i="10"/>
  <c r="F15" i="10"/>
  <c r="E15" i="10"/>
  <c r="D15" i="10"/>
  <c r="F14" i="10"/>
  <c r="E14" i="10"/>
  <c r="D14" i="10"/>
  <c r="F13" i="10"/>
  <c r="E13" i="10"/>
  <c r="D13" i="10"/>
  <c r="F12" i="10"/>
  <c r="E12" i="10"/>
  <c r="D12" i="10"/>
  <c r="F11" i="10"/>
  <c r="E11" i="10"/>
  <c r="D11" i="10"/>
  <c r="F10" i="10"/>
  <c r="E10" i="10"/>
  <c r="D10" i="10"/>
  <c r="F9" i="10"/>
  <c r="E9" i="10"/>
  <c r="D9" i="10"/>
  <c r="F8" i="10"/>
  <c r="E8" i="10"/>
  <c r="E3" i="10" s="1"/>
  <c r="H5" i="10" s="1"/>
  <c r="D8" i="10"/>
  <c r="F7" i="10"/>
  <c r="E7" i="10"/>
  <c r="D7" i="10"/>
  <c r="F6" i="10"/>
  <c r="F3" i="10" s="1"/>
  <c r="E6" i="10"/>
  <c r="D6" i="10"/>
  <c r="F36" i="9"/>
  <c r="E36" i="9"/>
  <c r="D36" i="9"/>
  <c r="F35" i="9"/>
  <c r="E35" i="9"/>
  <c r="D35" i="9"/>
  <c r="F34" i="9"/>
  <c r="E34" i="9"/>
  <c r="D34" i="9"/>
  <c r="F33" i="9"/>
  <c r="E33" i="9"/>
  <c r="D33" i="9"/>
  <c r="F32" i="9"/>
  <c r="E32" i="9"/>
  <c r="D32" i="9"/>
  <c r="F31" i="9"/>
  <c r="E31" i="9"/>
  <c r="D31" i="9"/>
  <c r="F30" i="9"/>
  <c r="E30" i="9"/>
  <c r="D30" i="9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7" i="9"/>
  <c r="E17" i="9"/>
  <c r="D17" i="9"/>
  <c r="F16" i="9"/>
  <c r="E16" i="9"/>
  <c r="D16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E3" i="9" s="1"/>
  <c r="D8" i="9"/>
  <c r="F7" i="9"/>
  <c r="E7" i="9"/>
  <c r="D7" i="9"/>
  <c r="F6" i="9"/>
  <c r="F3" i="9" s="1"/>
  <c r="E6" i="9"/>
  <c r="D6" i="9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E3" i="8" s="1"/>
  <c r="D8" i="8"/>
  <c r="F7" i="8"/>
  <c r="E7" i="8"/>
  <c r="D7" i="8"/>
  <c r="F6" i="8"/>
  <c r="E6" i="8"/>
  <c r="D6" i="8"/>
  <c r="F3" i="8"/>
  <c r="F36" i="7"/>
  <c r="E36" i="7"/>
  <c r="D36" i="7"/>
  <c r="F35" i="7"/>
  <c r="E35" i="7"/>
  <c r="D35" i="7"/>
  <c r="F34" i="7"/>
  <c r="E34" i="7"/>
  <c r="D34" i="7"/>
  <c r="F33" i="7"/>
  <c r="E33" i="7"/>
  <c r="D33" i="7"/>
  <c r="F32" i="7"/>
  <c r="E32" i="7"/>
  <c r="D32" i="7"/>
  <c r="F31" i="7"/>
  <c r="E31" i="7"/>
  <c r="D31" i="7"/>
  <c r="F30" i="7"/>
  <c r="E30" i="7"/>
  <c r="D30" i="7"/>
  <c r="F29" i="7"/>
  <c r="E29" i="7"/>
  <c r="D29" i="7"/>
  <c r="F28" i="7"/>
  <c r="E28" i="7"/>
  <c r="D28" i="7"/>
  <c r="F27" i="7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6" i="7"/>
  <c r="F3" i="7" s="1"/>
  <c r="E6" i="7"/>
  <c r="D6" i="7"/>
  <c r="E3" i="7"/>
  <c r="F36" i="6"/>
  <c r="E36" i="6"/>
  <c r="D36" i="6"/>
  <c r="F35" i="6"/>
  <c r="E35" i="6"/>
  <c r="D35" i="6"/>
  <c r="F34" i="6"/>
  <c r="E34" i="6"/>
  <c r="D34" i="6"/>
  <c r="F33" i="6"/>
  <c r="E33" i="6"/>
  <c r="D33" i="6"/>
  <c r="F32" i="6"/>
  <c r="E32" i="6"/>
  <c r="D32" i="6"/>
  <c r="F31" i="6"/>
  <c r="E31" i="6"/>
  <c r="D31" i="6"/>
  <c r="F30" i="6"/>
  <c r="E30" i="6"/>
  <c r="D30" i="6"/>
  <c r="F29" i="6"/>
  <c r="E29" i="6"/>
  <c r="D29" i="6"/>
  <c r="F28" i="6"/>
  <c r="E28" i="6"/>
  <c r="D28" i="6"/>
  <c r="F27" i="6"/>
  <c r="E27" i="6"/>
  <c r="D27" i="6"/>
  <c r="F26" i="6"/>
  <c r="E26" i="6"/>
  <c r="D26" i="6"/>
  <c r="F25" i="6"/>
  <c r="E25" i="6"/>
  <c r="D25" i="6"/>
  <c r="F24" i="6"/>
  <c r="E24" i="6"/>
  <c r="D24" i="6"/>
  <c r="F23" i="6"/>
  <c r="E23" i="6"/>
  <c r="D23" i="6"/>
  <c r="F22" i="6"/>
  <c r="E22" i="6"/>
  <c r="D22" i="6"/>
  <c r="F21" i="6"/>
  <c r="E21" i="6"/>
  <c r="D21" i="6"/>
  <c r="F20" i="6"/>
  <c r="E20" i="6"/>
  <c r="D20" i="6"/>
  <c r="F19" i="6"/>
  <c r="E19" i="6"/>
  <c r="D19" i="6"/>
  <c r="F18" i="6"/>
  <c r="E18" i="6"/>
  <c r="D18" i="6"/>
  <c r="F17" i="6"/>
  <c r="E17" i="6"/>
  <c r="D17" i="6"/>
  <c r="F16" i="6"/>
  <c r="E16" i="6"/>
  <c r="D16" i="6"/>
  <c r="F15" i="6"/>
  <c r="E15" i="6"/>
  <c r="D15" i="6"/>
  <c r="F14" i="6"/>
  <c r="E14" i="6"/>
  <c r="D14" i="6"/>
  <c r="F13" i="6"/>
  <c r="E13" i="6"/>
  <c r="D13" i="6"/>
  <c r="F12" i="6"/>
  <c r="E12" i="6"/>
  <c r="D12" i="6"/>
  <c r="F11" i="6"/>
  <c r="E11" i="6"/>
  <c r="D11" i="6"/>
  <c r="F10" i="6"/>
  <c r="E10" i="6"/>
  <c r="D10" i="6"/>
  <c r="F9" i="6"/>
  <c r="E9" i="6"/>
  <c r="D9" i="6"/>
  <c r="F8" i="6"/>
  <c r="E8" i="6"/>
  <c r="D8" i="6"/>
  <c r="F7" i="6"/>
  <c r="E7" i="6"/>
  <c r="D7" i="6"/>
  <c r="F6" i="6"/>
  <c r="F3" i="6" s="1"/>
  <c r="E6" i="6"/>
  <c r="D6" i="6"/>
  <c r="E3" i="6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F3" i="5" s="1"/>
  <c r="E6" i="5"/>
  <c r="D6" i="5"/>
  <c r="E3" i="5"/>
  <c r="H7" i="5" s="1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F3" i="4" s="1"/>
  <c r="E6" i="4"/>
  <c r="E3" i="4" s="1"/>
  <c r="D6" i="4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F3" i="3" s="1"/>
  <c r="E6" i="3"/>
  <c r="D6" i="3"/>
  <c r="E3" i="3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F3" i="2" s="1"/>
  <c r="E6" i="2"/>
  <c r="D6" i="2"/>
  <c r="E3" i="2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F3" i="1" s="1"/>
  <c r="E6" i="1"/>
  <c r="D6" i="1"/>
  <c r="H4" i="1"/>
  <c r="E3" i="1"/>
  <c r="H6" i="6" l="1"/>
  <c r="H4" i="9"/>
  <c r="H4" i="12"/>
  <c r="I6" i="3"/>
  <c r="I7" i="2"/>
</calcChain>
</file>

<file path=xl/sharedStrings.xml><?xml version="1.0" encoding="utf-8"?>
<sst xmlns="http://schemas.openxmlformats.org/spreadsheetml/2006/main" count="230" uniqueCount="31">
  <si>
    <t>OFFICE TIMES</t>
  </si>
  <si>
    <t>September</t>
  </si>
  <si>
    <t>Mehedi</t>
  </si>
  <si>
    <t>IN TIME</t>
  </si>
  <si>
    <t>OUT TIME</t>
  </si>
  <si>
    <t>LATE ALLOW</t>
  </si>
  <si>
    <t>OVER TIME</t>
  </si>
  <si>
    <t>Joining Date:</t>
  </si>
  <si>
    <t>DATE</t>
  </si>
  <si>
    <t>TIME IN</t>
  </si>
  <si>
    <t>TIME OUT</t>
  </si>
  <si>
    <t>DUTY TIME</t>
  </si>
  <si>
    <t>Late</t>
  </si>
  <si>
    <t>Sayem</t>
  </si>
  <si>
    <t>Mishad</t>
  </si>
  <si>
    <t>Samiul</t>
  </si>
  <si>
    <t>Shantu</t>
  </si>
  <si>
    <t>Biplob</t>
  </si>
  <si>
    <t>Siam</t>
  </si>
  <si>
    <t>Govt. Holiday</t>
  </si>
  <si>
    <t>CS</t>
  </si>
  <si>
    <t>Mamun</t>
  </si>
  <si>
    <t>Sanowar</t>
  </si>
  <si>
    <t>Rony</t>
  </si>
  <si>
    <t>Adjusted on october 2025</t>
  </si>
  <si>
    <t>Rana</t>
  </si>
  <si>
    <t>Rina</t>
  </si>
  <si>
    <t>Shewly</t>
  </si>
  <si>
    <t>Jumman</t>
  </si>
  <si>
    <t>Hossain</t>
  </si>
  <si>
    <t>Sheet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</si>
</sst>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"/>
    <numFmt numFmtId="165" formatCode="mm\-dd\-yyyy"/>
    <numFmt numFmtId="166" formatCode="d&quot;-&quot;mmm&quot;-&quot;yy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</font>
    <font>
      <sz val="11"/>
      <name val="Calibri"/>
    </font>
    <font>
      <sz val="11"/>
      <color theme="1"/>
      <name val="Inconsolat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980000"/>
        <bgColor rgb="FF98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18" fontId="1" fillId="2" borderId="4" xfId="0" applyNumberFormat="1" applyFont="1" applyFill="1" applyBorder="1" applyAlignment="1">
      <alignment horizontal="center"/>
    </xf>
    <xf numFmtId="18" fontId="1" fillId="2" borderId="4" xfId="0" applyNumberFormat="1" applyFont="1" applyFill="1" applyBorder="1"/>
    <xf numFmtId="164" fontId="5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5" fontId="1" fillId="2" borderId="4" xfId="0" applyNumberFormat="1" applyFont="1" applyFill="1" applyBorder="1"/>
    <xf numFmtId="0" fontId="1" fillId="2" borderId="4" xfId="0" applyFont="1" applyFill="1" applyBorder="1"/>
    <xf numFmtId="164" fontId="6" fillId="0" borderId="0" xfId="0" applyNumberFormat="1" applyFont="1"/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wrapText="1"/>
    </xf>
    <xf numFmtId="166" fontId="1" fillId="2" borderId="5" xfId="0" applyNumberFormat="1" applyFont="1" applyFill="1" applyBorder="1" applyAlignment="1">
      <alignment horizontal="center" wrapText="1"/>
    </xf>
    <xf numFmtId="20" fontId="1" fillId="2" borderId="4" xfId="0" applyNumberFormat="1" applyFont="1" applyFill="1" applyBorder="1" applyAlignment="1">
      <alignment horizontal="center"/>
    </xf>
    <xf numFmtId="0" fontId="6" fillId="2" borderId="0" xfId="0" applyFont="1" applyFill="1"/>
    <xf numFmtId="18" fontId="1" fillId="2" borderId="4" xfId="0" applyNumberFormat="1" applyFont="1" applyFill="1" applyBorder="1" applyAlignment="1">
      <alignment horizontal="center" wrapText="1"/>
    </xf>
    <xf numFmtId="20" fontId="1" fillId="2" borderId="4" xfId="0" applyNumberFormat="1" applyFont="1" applyFill="1" applyBorder="1" applyAlignment="1">
      <alignment horizontal="center" wrapText="1"/>
    </xf>
    <xf numFmtId="166" fontId="1" fillId="5" borderId="5" xfId="0" applyNumberFormat="1" applyFont="1" applyFill="1" applyBorder="1" applyAlignment="1">
      <alignment horizontal="center" wrapText="1"/>
    </xf>
    <xf numFmtId="18" fontId="1" fillId="5" borderId="6" xfId="0" applyNumberFormat="1" applyFont="1" applyFill="1" applyBorder="1" applyAlignment="1">
      <alignment horizontal="center" wrapText="1"/>
    </xf>
    <xf numFmtId="20" fontId="1" fillId="5" borderId="6" xfId="0" applyNumberFormat="1" applyFont="1" applyFill="1" applyBorder="1" applyAlignment="1">
      <alignment horizontal="center" wrapText="1"/>
    </xf>
    <xf numFmtId="20" fontId="1" fillId="5" borderId="4" xfId="0" applyNumberFormat="1" applyFont="1" applyFill="1" applyBorder="1" applyAlignment="1">
      <alignment horizontal="center"/>
    </xf>
    <xf numFmtId="20" fontId="1" fillId="5" borderId="4" xfId="0" applyNumberFormat="1" applyFont="1" applyFill="1" applyBorder="1" applyAlignment="1">
      <alignment horizontal="center" wrapText="1"/>
    </xf>
    <xf numFmtId="166" fontId="1" fillId="3" borderId="5" xfId="0" applyNumberFormat="1" applyFont="1" applyFill="1" applyBorder="1" applyAlignment="1">
      <alignment horizontal="center" wrapText="1"/>
    </xf>
    <xf numFmtId="18" fontId="1" fillId="3" borderId="6" xfId="0" applyNumberFormat="1" applyFont="1" applyFill="1" applyBorder="1" applyAlignment="1">
      <alignment horizontal="center"/>
    </xf>
    <xf numFmtId="20" fontId="1" fillId="3" borderId="6" xfId="0" applyNumberFormat="1" applyFont="1" applyFill="1" applyBorder="1" applyAlignment="1">
      <alignment horizontal="center"/>
    </xf>
    <xf numFmtId="20" fontId="1" fillId="3" borderId="4" xfId="0" applyNumberFormat="1" applyFont="1" applyFill="1" applyBorder="1" applyAlignment="1">
      <alignment horizontal="center"/>
    </xf>
    <xf numFmtId="18" fontId="1" fillId="2" borderId="6" xfId="0" applyNumberFormat="1" applyFont="1" applyFill="1" applyBorder="1" applyAlignment="1">
      <alignment horizontal="center"/>
    </xf>
    <xf numFmtId="20" fontId="1" fillId="2" borderId="6" xfId="0" applyNumberFormat="1" applyFont="1" applyFill="1" applyBorder="1" applyAlignment="1">
      <alignment horizontal="center"/>
    </xf>
    <xf numFmtId="18" fontId="1" fillId="2" borderId="6" xfId="0" applyNumberFormat="1" applyFont="1" applyFill="1" applyBorder="1" applyAlignment="1">
      <alignment horizontal="center" wrapText="1"/>
    </xf>
    <xf numFmtId="20" fontId="1" fillId="2" borderId="6" xfId="0" applyNumberFormat="1" applyFont="1" applyFill="1" applyBorder="1" applyAlignment="1">
      <alignment horizontal="center" wrapText="1"/>
    </xf>
    <xf numFmtId="20" fontId="1" fillId="3" borderId="4" xfId="0" applyNumberFormat="1" applyFont="1" applyFill="1" applyBorder="1" applyAlignment="1">
      <alignment horizontal="center" wrapText="1"/>
    </xf>
    <xf numFmtId="20" fontId="6" fillId="2" borderId="0" xfId="0" applyNumberFormat="1" applyFont="1" applyFill="1"/>
    <xf numFmtId="164" fontId="6" fillId="2" borderId="0" xfId="0" applyNumberFormat="1" applyFont="1" applyFill="1"/>
    <xf numFmtId="18" fontId="1" fillId="3" borderId="6" xfId="0" applyNumberFormat="1" applyFont="1" applyFill="1" applyBorder="1" applyAlignment="1">
      <alignment horizontal="center" wrapText="1"/>
    </xf>
    <xf numFmtId="20" fontId="1" fillId="3" borderId="6" xfId="0" applyNumberFormat="1" applyFont="1" applyFill="1" applyBorder="1" applyAlignment="1">
      <alignment horizontal="center" wrapText="1"/>
    </xf>
    <xf numFmtId="18" fontId="1" fillId="5" borderId="6" xfId="0" applyNumberFormat="1" applyFont="1" applyFill="1" applyBorder="1" applyAlignment="1">
      <alignment horizontal="center"/>
    </xf>
    <xf numFmtId="20" fontId="1" fillId="5" borderId="6" xfId="0" applyNumberFormat="1" applyFont="1" applyFill="1" applyBorder="1" applyAlignment="1">
      <alignment horizontal="center"/>
    </xf>
    <xf numFmtId="166" fontId="1" fillId="6" borderId="5" xfId="0" applyNumberFormat="1" applyFont="1" applyFill="1" applyBorder="1" applyAlignment="1">
      <alignment horizontal="center" wrapText="1"/>
    </xf>
    <xf numFmtId="18" fontId="1" fillId="6" borderId="6" xfId="0" applyNumberFormat="1" applyFont="1" applyFill="1" applyBorder="1" applyAlignment="1">
      <alignment horizontal="center"/>
    </xf>
    <xf numFmtId="20" fontId="1" fillId="6" borderId="4" xfId="0" applyNumberFormat="1" applyFont="1" applyFill="1" applyBorder="1" applyAlignment="1">
      <alignment horizontal="center" wrapText="1"/>
    </xf>
    <xf numFmtId="20" fontId="1" fillId="6" borderId="6" xfId="0" applyNumberFormat="1" applyFont="1" applyFill="1" applyBorder="1" applyAlignment="1">
      <alignment horizontal="center"/>
    </xf>
    <xf numFmtId="20" fontId="1" fillId="6" borderId="4" xfId="0" applyNumberFormat="1" applyFont="1" applyFill="1" applyBorder="1" applyAlignment="1">
      <alignment horizontal="center"/>
    </xf>
    <xf numFmtId="18" fontId="1" fillId="6" borderId="6" xfId="0" applyNumberFormat="1" applyFont="1" applyFill="1" applyBorder="1" applyAlignment="1">
      <alignment horizontal="center" wrapText="1"/>
    </xf>
    <xf numFmtId="20" fontId="1" fillId="6" borderId="6" xfId="0" applyNumberFormat="1" applyFont="1" applyFill="1" applyBorder="1" applyAlignment="1">
      <alignment horizontal="center" wrapText="1"/>
    </xf>
    <xf numFmtId="166" fontId="1" fillId="7" borderId="5" xfId="0" applyNumberFormat="1" applyFont="1" applyFill="1" applyBorder="1" applyAlignment="1">
      <alignment horizontal="center" wrapText="1"/>
    </xf>
    <xf numFmtId="18" fontId="1" fillId="7" borderId="6" xfId="0" applyNumberFormat="1" applyFont="1" applyFill="1" applyBorder="1" applyAlignment="1">
      <alignment horizontal="center"/>
    </xf>
    <xf numFmtId="20" fontId="1" fillId="7" borderId="6" xfId="0" applyNumberFormat="1" applyFont="1" applyFill="1" applyBorder="1" applyAlignment="1">
      <alignment horizontal="center"/>
    </xf>
    <xf numFmtId="20" fontId="1" fillId="7" borderId="4" xfId="0" applyNumberFormat="1" applyFont="1" applyFill="1" applyBorder="1" applyAlignment="1">
      <alignment horizontal="center"/>
    </xf>
    <xf numFmtId="0" fontId="6" fillId="8" borderId="0" xfId="0" applyFont="1" applyFill="1"/>
    <xf numFmtId="18" fontId="1" fillId="3" borderId="4" xfId="0" applyNumberFormat="1" applyFont="1" applyFill="1" applyBorder="1" applyAlignment="1">
      <alignment horizontal="center"/>
    </xf>
    <xf numFmtId="0" fontId="6" fillId="0" borderId="0" xfId="0" applyFont="1"/>
    <xf numFmtId="166" fontId="1" fillId="9" borderId="5" xfId="0" applyNumberFormat="1" applyFont="1" applyFill="1" applyBorder="1" applyAlignment="1">
      <alignment horizontal="center" wrapText="1"/>
    </xf>
    <xf numFmtId="18" fontId="1" fillId="9" borderId="6" xfId="0" applyNumberFormat="1" applyFont="1" applyFill="1" applyBorder="1" applyAlignment="1">
      <alignment horizontal="center"/>
    </xf>
    <xf numFmtId="20" fontId="1" fillId="9" borderId="6" xfId="0" applyNumberFormat="1" applyFont="1" applyFill="1" applyBorder="1" applyAlignment="1">
      <alignment horizontal="center"/>
    </xf>
    <xf numFmtId="20" fontId="1" fillId="9" borderId="4" xfId="0" applyNumberFormat="1" applyFont="1" applyFill="1" applyBorder="1" applyAlignment="1">
      <alignment horizontal="center"/>
    </xf>
    <xf numFmtId="18" fontId="1" fillId="6" borderId="4" xfId="0" applyNumberFormat="1" applyFont="1" applyFill="1" applyBorder="1" applyAlignment="1">
      <alignment horizontal="center"/>
    </xf>
    <xf numFmtId="20" fontId="1" fillId="9" borderId="4" xfId="0" applyNumberFormat="1" applyFont="1" applyFill="1" applyBorder="1" applyAlignment="1">
      <alignment horizontal="center" wrapText="1"/>
    </xf>
    <xf numFmtId="18" fontId="1" fillId="10" borderId="4" xfId="0" applyNumberFormat="1" applyFont="1" applyFill="1" applyBorder="1" applyAlignment="1">
      <alignment horizontal="center" wrapText="1"/>
    </xf>
    <xf numFmtId="18" fontId="1" fillId="10" borderId="6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5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307A-50D8-47E7-85B4-FDB57B49AB38}">
  <sheetPr codeName="Sheet16"/>
  <dimension ref="A1:A16"/>
  <sheetViews>
    <sheetView tabSelected="1" workbookViewId="0">
      <selection activeCell="C18" sqref="C18"/>
    </sheetView>
  </sheetViews>
  <sheetFormatPr defaultRowHeight="14.4" x14ac:dyDescent="0.3"/>
  <cols>
    <col min="1" max="1" width="12" bestFit="1" customWidth="1"/>
  </cols>
  <sheetData>
    <row r="1" spans="1:1" x14ac:dyDescent="0.3">
      <c r="A1" s="64" t="s">
        <v>30</v>
      </c>
    </row>
    <row r="2" spans="1:1" x14ac:dyDescent="0.3">
      <c r="A2" t="s">
        <v>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25</v>
      </c>
    </row>
    <row r="13" spans="1:1" x14ac:dyDescent="0.3">
      <c r="A13" t="s">
        <v>26</v>
      </c>
    </row>
    <row r="14" spans="1:1" x14ac:dyDescent="0.3">
      <c r="A14" t="s">
        <v>27</v>
      </c>
    </row>
    <row r="15" spans="1:1" x14ac:dyDescent="0.3">
      <c r="A15" t="s">
        <v>28</v>
      </c>
    </row>
    <row r="16" spans="1:1" x14ac:dyDescent="0.3">
      <c r="A1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"/>
  <sheetViews>
    <sheetView workbookViewId="0">
      <selection activeCell="A6" sqref="A6"/>
    </sheetView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0.29583333333333439</v>
      </c>
      <c r="F3" s="8">
        <f t="shared" si="0"/>
        <v>0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  <c r="H4" s="12">
        <f>E3-G25</f>
        <v>4.1666666666677066E-3</v>
      </c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0.43125000000000002</v>
      </c>
      <c r="C6" s="6">
        <v>0.86458333333333337</v>
      </c>
      <c r="D6" s="16">
        <f t="shared" ref="D6:D36" si="1">IF(ISBLANK(B6),"", MOD((C6-B6),1))</f>
        <v>0.43333333333333335</v>
      </c>
      <c r="E6" s="16">
        <f t="shared" ref="E6:E36" si="2">IF(C6&gt;$C$3,C6-$C$3,"")</f>
        <v>1.0416666666666741E-2</v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0.42986111111111114</v>
      </c>
      <c r="C7" s="6">
        <v>0.85486111111111107</v>
      </c>
      <c r="D7" s="16">
        <f t="shared" si="1"/>
        <v>0.42499999999999993</v>
      </c>
      <c r="E7" s="16">
        <f t="shared" si="2"/>
        <v>6.9444444444444198E-4</v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0.42986111111111114</v>
      </c>
      <c r="C8" s="18">
        <v>0.875</v>
      </c>
      <c r="D8" s="19">
        <f t="shared" si="1"/>
        <v>0.44513888888888886</v>
      </c>
      <c r="E8" s="19">
        <f t="shared" si="2"/>
        <v>2.083333333333337E-2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0.43125000000000002</v>
      </c>
      <c r="C9" s="6">
        <v>0.89236111111111116</v>
      </c>
      <c r="D9" s="16">
        <f t="shared" si="1"/>
        <v>0.46111111111111114</v>
      </c>
      <c r="E9" s="16">
        <f t="shared" si="2"/>
        <v>3.8194444444444531E-2</v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0">
        <v>45905</v>
      </c>
      <c r="B10" s="21"/>
      <c r="C10" s="21"/>
      <c r="D10" s="22" t="str">
        <f t="shared" si="1"/>
        <v/>
      </c>
      <c r="E10" s="23" t="str">
        <f t="shared" si="2"/>
        <v/>
      </c>
      <c r="F10" s="24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0.42986111111111114</v>
      </c>
      <c r="C11" s="26">
        <v>0.86944444444444446</v>
      </c>
      <c r="D11" s="27">
        <f t="shared" si="1"/>
        <v>0.43958333333333333</v>
      </c>
      <c r="E11" s="28">
        <f t="shared" si="2"/>
        <v>1.5277777777777835E-2</v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0.42916666666666664</v>
      </c>
      <c r="C12" s="29">
        <v>0.86944444444444446</v>
      </c>
      <c r="D12" s="30">
        <f t="shared" si="1"/>
        <v>0.44027777777777782</v>
      </c>
      <c r="E12" s="16">
        <f t="shared" si="2"/>
        <v>1.5277777777777835E-2</v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0.43194444444444446</v>
      </c>
      <c r="C13" s="29">
        <v>0.87222222222222223</v>
      </c>
      <c r="D13" s="30">
        <f t="shared" si="1"/>
        <v>0.44027777777777777</v>
      </c>
      <c r="E13" s="16">
        <f t="shared" si="2"/>
        <v>1.8055555555555602E-2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0.43194444444444446</v>
      </c>
      <c r="C14" s="29">
        <v>0.86041666666666672</v>
      </c>
      <c r="D14" s="30">
        <f t="shared" si="1"/>
        <v>0.42847222222222225</v>
      </c>
      <c r="E14" s="16">
        <f t="shared" si="2"/>
        <v>6.2500000000000888E-3</v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0.43055555555555558</v>
      </c>
      <c r="C15" s="29">
        <v>0.86805555555555558</v>
      </c>
      <c r="D15" s="30">
        <f t="shared" si="1"/>
        <v>0.4375</v>
      </c>
      <c r="E15" s="16">
        <f t="shared" si="2"/>
        <v>1.3888888888888951E-2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0.4375</v>
      </c>
      <c r="C16" s="29">
        <v>0.86458333333333337</v>
      </c>
      <c r="D16" s="30">
        <f t="shared" si="1"/>
        <v>0.42708333333333337</v>
      </c>
      <c r="E16" s="16">
        <f t="shared" si="2"/>
        <v>1.0416666666666741E-2</v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0.43472222222222223</v>
      </c>
      <c r="C18" s="29">
        <v>0.86527777777777781</v>
      </c>
      <c r="D18" s="30">
        <f t="shared" si="1"/>
        <v>0.43055555555555558</v>
      </c>
      <c r="E18" s="16">
        <f t="shared" si="2"/>
        <v>1.1111111111111183E-2</v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0.43194444444444446</v>
      </c>
      <c r="C19" s="29">
        <v>0.86319444444444449</v>
      </c>
      <c r="D19" s="32">
        <f t="shared" si="1"/>
        <v>0.43125000000000002</v>
      </c>
      <c r="E19" s="19">
        <f t="shared" si="2"/>
        <v>9.0277777777778567E-3</v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0.42986111111111114</v>
      </c>
      <c r="C20" s="29">
        <v>0.87361111111111112</v>
      </c>
      <c r="D20" s="30">
        <f t="shared" si="1"/>
        <v>0.44374999999999998</v>
      </c>
      <c r="E20" s="16">
        <f t="shared" si="2"/>
        <v>1.9444444444444486E-2</v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0.43263888888888891</v>
      </c>
      <c r="C21" s="29">
        <v>0.86458333333333337</v>
      </c>
      <c r="D21" s="16">
        <f t="shared" si="1"/>
        <v>0.43194444444444446</v>
      </c>
      <c r="E21" s="16">
        <f t="shared" si="2"/>
        <v>1.0416666666666741E-2</v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0.43333333333333335</v>
      </c>
      <c r="C22" s="29">
        <v>0.86944444444444446</v>
      </c>
      <c r="D22" s="19">
        <f t="shared" si="1"/>
        <v>0.43611111111111112</v>
      </c>
      <c r="E22" s="19">
        <f t="shared" si="2"/>
        <v>1.5277777777777835E-2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0.43333333333333335</v>
      </c>
      <c r="C23" s="29">
        <v>0.875</v>
      </c>
      <c r="D23" s="16">
        <f t="shared" si="1"/>
        <v>0.44166666666666665</v>
      </c>
      <c r="E23" s="16">
        <f t="shared" si="2"/>
        <v>2.083333333333337E-2</v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0.43263888888888891</v>
      </c>
      <c r="C25" s="29">
        <v>0.5625</v>
      </c>
      <c r="D25" s="16">
        <f t="shared" si="1"/>
        <v>0.12986111111111109</v>
      </c>
      <c r="E25" s="16" t="str">
        <f t="shared" si="2"/>
        <v/>
      </c>
      <c r="F25" s="16">
        <f t="shared" si="3"/>
        <v>0</v>
      </c>
      <c r="G25" s="34">
        <v>0.29166666666666669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0.43333333333333335</v>
      </c>
      <c r="C26" s="29">
        <v>0.85486111111111107</v>
      </c>
      <c r="D26" s="19">
        <f t="shared" si="1"/>
        <v>0.42152777777777772</v>
      </c>
      <c r="E26" s="19">
        <f t="shared" si="2"/>
        <v>6.9444444444444198E-4</v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0.43333333333333335</v>
      </c>
      <c r="C27" s="29">
        <v>0.8666666666666667</v>
      </c>
      <c r="D27" s="16">
        <f t="shared" si="1"/>
        <v>0.43333333333333335</v>
      </c>
      <c r="E27" s="16">
        <f t="shared" si="2"/>
        <v>1.2500000000000067E-2</v>
      </c>
      <c r="F27" s="16">
        <f t="shared" si="3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0.43263888888888891</v>
      </c>
      <c r="C28" s="29">
        <v>0.85902777777777772</v>
      </c>
      <c r="D28" s="16">
        <f t="shared" si="1"/>
        <v>0.42638888888888882</v>
      </c>
      <c r="E28" s="16">
        <f t="shared" si="2"/>
        <v>4.8611111111110938E-3</v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0.42986111111111114</v>
      </c>
      <c r="C29" s="29">
        <v>0.86319444444444449</v>
      </c>
      <c r="D29" s="19">
        <f t="shared" si="1"/>
        <v>0.43333333333333335</v>
      </c>
      <c r="E29" s="19">
        <f t="shared" si="2"/>
        <v>9.0277777777778567E-3</v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0.4375</v>
      </c>
      <c r="C30" s="29">
        <v>0.85486111111111107</v>
      </c>
      <c r="D30" s="16">
        <f t="shared" si="1"/>
        <v>0.41736111111111107</v>
      </c>
      <c r="E30" s="16">
        <f t="shared" si="2"/>
        <v>6.9444444444444198E-4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0.43125000000000002</v>
      </c>
      <c r="C32" s="29">
        <v>0.85902777777777772</v>
      </c>
      <c r="D32" s="19">
        <f t="shared" si="1"/>
        <v>0.4277777777777777</v>
      </c>
      <c r="E32" s="16">
        <f t="shared" si="2"/>
        <v>4.8611111111110938E-3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0.42986111111111114</v>
      </c>
      <c r="C33" s="29">
        <v>0.85763888888888884</v>
      </c>
      <c r="D33" s="19">
        <f t="shared" si="1"/>
        <v>0.4277777777777777</v>
      </c>
      <c r="E33" s="16">
        <f t="shared" si="2"/>
        <v>3.4722222222222099E-3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0.43125000000000002</v>
      </c>
      <c r="C34" s="29">
        <v>0.87638888888888888</v>
      </c>
      <c r="D34" s="16">
        <f t="shared" si="1"/>
        <v>0.44513888888888886</v>
      </c>
      <c r="E34" s="16">
        <f t="shared" si="2"/>
        <v>2.2222222222222254E-2</v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0.43055555555555558</v>
      </c>
      <c r="C35" s="29">
        <v>0.85624999999999996</v>
      </c>
      <c r="D35" s="19">
        <f t="shared" si="1"/>
        <v>0.42569444444444438</v>
      </c>
      <c r="E35" s="19">
        <f t="shared" si="2"/>
        <v>2.0833333333333259E-3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13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0.26041666666666763</v>
      </c>
      <c r="F3" s="8">
        <f t="shared" si="0"/>
        <v>4.3055555555555514E-2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0.43402777777777779</v>
      </c>
      <c r="C6" s="6">
        <v>0.86458333333333337</v>
      </c>
      <c r="D6" s="16">
        <f t="shared" ref="D6:D36" si="1">IF(ISBLANK(B6),"", MOD((C6-B6),1))</f>
        <v>0.43055555555555558</v>
      </c>
      <c r="E6" s="16">
        <f t="shared" ref="E6:E36" si="2">IF(C6&gt;$C$3,C6-$C$3,"")</f>
        <v>1.0416666666666741E-2</v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0.43125000000000002</v>
      </c>
      <c r="C7" s="6">
        <v>0.85416666666666663</v>
      </c>
      <c r="D7" s="16">
        <f t="shared" si="1"/>
        <v>0.42291666666666661</v>
      </c>
      <c r="E7" s="16" t="str">
        <f t="shared" si="2"/>
        <v/>
      </c>
      <c r="F7" s="16">
        <f t="shared" si="3"/>
        <v>0</v>
      </c>
      <c r="G7" s="17"/>
      <c r="H7" s="17"/>
      <c r="I7" s="35">
        <f>E3-F3</f>
        <v>0.21736111111111212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0.42986111111111114</v>
      </c>
      <c r="C8" s="18">
        <v>0.87013888888888891</v>
      </c>
      <c r="D8" s="19">
        <f t="shared" si="1"/>
        <v>0.44027777777777777</v>
      </c>
      <c r="E8" s="19">
        <f t="shared" si="2"/>
        <v>1.5972222222222276E-2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0.43472222222222223</v>
      </c>
      <c r="C9" s="6">
        <v>0.8930555555555556</v>
      </c>
      <c r="D9" s="16">
        <f t="shared" si="1"/>
        <v>0.45833333333333337</v>
      </c>
      <c r="E9" s="16">
        <f t="shared" si="2"/>
        <v>3.8888888888888973E-2</v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0">
        <v>45906</v>
      </c>
      <c r="B11" s="38">
        <v>0.43541666666666667</v>
      </c>
      <c r="C11" s="38">
        <v>0.86944444444444446</v>
      </c>
      <c r="D11" s="39">
        <f t="shared" si="1"/>
        <v>0.43402777777777779</v>
      </c>
      <c r="E11" s="23">
        <f t="shared" si="2"/>
        <v>1.5277777777777835E-2</v>
      </c>
      <c r="F11" s="23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0.44305555555555554</v>
      </c>
      <c r="C12" s="29">
        <v>0.86944444444444446</v>
      </c>
      <c r="D12" s="30">
        <f t="shared" si="1"/>
        <v>0.42638888888888893</v>
      </c>
      <c r="E12" s="16">
        <f t="shared" si="2"/>
        <v>1.5277777777777835E-2</v>
      </c>
      <c r="F12" s="16">
        <f t="shared" si="3"/>
        <v>5.5555555555555358E-3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0.43541666666666667</v>
      </c>
      <c r="C13" s="29">
        <v>0.85416666666666663</v>
      </c>
      <c r="D13" s="30">
        <f t="shared" si="1"/>
        <v>0.41874999999999996</v>
      </c>
      <c r="E13" s="16" t="str">
        <f t="shared" si="2"/>
        <v/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0.43611111111111112</v>
      </c>
      <c r="C14" s="29">
        <v>0.86041666666666672</v>
      </c>
      <c r="D14" s="30">
        <f t="shared" si="1"/>
        <v>0.4243055555555556</v>
      </c>
      <c r="E14" s="16">
        <f t="shared" si="2"/>
        <v>6.2500000000000888E-3</v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0.43194444444444446</v>
      </c>
      <c r="C15" s="29">
        <v>0.85555555555555551</v>
      </c>
      <c r="D15" s="30">
        <f t="shared" si="1"/>
        <v>0.42361111111111105</v>
      </c>
      <c r="E15" s="16">
        <f t="shared" si="2"/>
        <v>1.388888888888884E-3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0.43194444444444446</v>
      </c>
      <c r="C16" s="29">
        <v>0.86388888888888893</v>
      </c>
      <c r="D16" s="30">
        <f t="shared" si="1"/>
        <v>0.43194444444444446</v>
      </c>
      <c r="E16" s="16">
        <f t="shared" si="2"/>
        <v>9.7222222222222987E-3</v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0.43055555555555558</v>
      </c>
      <c r="C18" s="29">
        <v>0.86527777777777781</v>
      </c>
      <c r="D18" s="30">
        <f t="shared" si="1"/>
        <v>0.43472222222222223</v>
      </c>
      <c r="E18" s="16">
        <f t="shared" si="2"/>
        <v>1.1111111111111183E-2</v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0.44305555555555554</v>
      </c>
      <c r="C19" s="29">
        <v>0.86527777777777781</v>
      </c>
      <c r="D19" s="32">
        <f t="shared" si="1"/>
        <v>0.42222222222222228</v>
      </c>
      <c r="E19" s="19">
        <f t="shared" si="2"/>
        <v>1.1111111111111183E-2</v>
      </c>
      <c r="F19" s="19">
        <f t="shared" si="3"/>
        <v>5.5555555555555358E-3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0.43125000000000002</v>
      </c>
      <c r="C20" s="29">
        <v>0.85416666666666663</v>
      </c>
      <c r="D20" s="30">
        <f t="shared" si="1"/>
        <v>0.42291666666666661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0.43194444444444446</v>
      </c>
      <c r="C21" s="29">
        <v>0.86388888888888893</v>
      </c>
      <c r="D21" s="16">
        <f t="shared" si="1"/>
        <v>0.43194444444444446</v>
      </c>
      <c r="E21" s="16">
        <f t="shared" si="2"/>
        <v>9.7222222222222987E-3</v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40">
        <v>45917</v>
      </c>
      <c r="B22" s="41"/>
      <c r="C22" s="41"/>
      <c r="D22" s="42" t="str">
        <f t="shared" si="1"/>
        <v/>
      </c>
      <c r="E22" s="42" t="str">
        <f t="shared" si="2"/>
        <v/>
      </c>
      <c r="F22" s="42" t="str">
        <f t="shared" si="3"/>
        <v/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0.43472222222222223</v>
      </c>
      <c r="C23" s="29">
        <v>0.875</v>
      </c>
      <c r="D23" s="16">
        <f t="shared" si="1"/>
        <v>0.44027777777777777</v>
      </c>
      <c r="E23" s="16">
        <f t="shared" si="2"/>
        <v>2.083333333333337E-2</v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0.43680555555555556</v>
      </c>
      <c r="C25" s="29">
        <v>0.85902777777777772</v>
      </c>
      <c r="D25" s="16">
        <f t="shared" si="1"/>
        <v>0.42222222222222217</v>
      </c>
      <c r="E25" s="16">
        <f t="shared" si="2"/>
        <v>4.8611111111110938E-3</v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0.43611111111111112</v>
      </c>
      <c r="C26" s="29">
        <v>0.85416666666666663</v>
      </c>
      <c r="D26" s="19">
        <f t="shared" si="1"/>
        <v>0.41805555555555551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0.46944444444444444</v>
      </c>
      <c r="C27" s="29">
        <v>0.86597222222222225</v>
      </c>
      <c r="D27" s="16">
        <f t="shared" si="1"/>
        <v>0.39652777777777781</v>
      </c>
      <c r="E27" s="16">
        <f t="shared" si="2"/>
        <v>1.1805555555555625E-2</v>
      </c>
      <c r="F27" s="16">
        <f t="shared" si="3"/>
        <v>3.1944444444444442E-2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0.43680555555555556</v>
      </c>
      <c r="C28" s="29">
        <v>0.85902777777777772</v>
      </c>
      <c r="D28" s="16">
        <f t="shared" si="1"/>
        <v>0.42222222222222217</v>
      </c>
      <c r="E28" s="16">
        <f t="shared" si="2"/>
        <v>4.8611111111110938E-3</v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0.43263888888888891</v>
      </c>
      <c r="C29" s="29">
        <v>0.86319444444444449</v>
      </c>
      <c r="D29" s="19">
        <f t="shared" si="1"/>
        <v>0.43055555555555558</v>
      </c>
      <c r="E29" s="19">
        <f t="shared" si="2"/>
        <v>9.0277777777778567E-3</v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0.43333333333333335</v>
      </c>
      <c r="C30" s="29">
        <v>0.86111111111111116</v>
      </c>
      <c r="D30" s="16">
        <f t="shared" si="1"/>
        <v>0.42777777777777781</v>
      </c>
      <c r="E30" s="16">
        <f t="shared" si="2"/>
        <v>6.9444444444445308E-3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0.43680555555555556</v>
      </c>
      <c r="C32" s="29">
        <v>0.85902777777777772</v>
      </c>
      <c r="D32" s="19">
        <f t="shared" si="1"/>
        <v>0.42222222222222217</v>
      </c>
      <c r="E32" s="16">
        <f t="shared" si="2"/>
        <v>4.8611111111110938E-3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0.43611111111111112</v>
      </c>
      <c r="C33" s="29">
        <v>0.87638888888888888</v>
      </c>
      <c r="D33" s="19">
        <f t="shared" si="1"/>
        <v>0.44027777777777777</v>
      </c>
      <c r="E33" s="16">
        <f t="shared" si="2"/>
        <v>2.2222222222222254E-2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0.43472222222222223</v>
      </c>
      <c r="C34" s="29">
        <v>0.88194444444444442</v>
      </c>
      <c r="D34" s="16">
        <f t="shared" si="1"/>
        <v>0.44722222222222219</v>
      </c>
      <c r="E34" s="16">
        <f t="shared" si="2"/>
        <v>2.777777777777779E-2</v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0.43680555555555556</v>
      </c>
      <c r="C35" s="29">
        <v>0.85624999999999996</v>
      </c>
      <c r="D35" s="19">
        <f t="shared" si="1"/>
        <v>0.4194444444444444</v>
      </c>
      <c r="E35" s="19">
        <f t="shared" si="2"/>
        <v>2.0833333333333259E-3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14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0.28194444444444511</v>
      </c>
      <c r="F3" s="8">
        <f t="shared" si="0"/>
        <v>1.388888888888884E-3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0.43402777777777779</v>
      </c>
      <c r="C6" s="6">
        <v>0.8569444444444444</v>
      </c>
      <c r="D6" s="16">
        <f t="shared" ref="D6:D36" si="1">IF(ISBLANK(B6),"", MOD((C6-B6),1))</f>
        <v>0.42291666666666661</v>
      </c>
      <c r="E6" s="16">
        <f t="shared" ref="E6:E36" si="2">IF(C6&gt;$C$3,C6-$C$3,"")</f>
        <v>2.7777777777777679E-3</v>
      </c>
      <c r="F6" s="16">
        <f t="shared" ref="F6:F36" si="3">IF(ISBLANK(B6),"",IF($B$3&gt;B6,0,(B6-$B$3)))</f>
        <v>0</v>
      </c>
      <c r="G6" s="17"/>
      <c r="H6" s="17"/>
      <c r="I6" s="35">
        <f>E3-F3</f>
        <v>0.28055555555555622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0.42986111111111114</v>
      </c>
      <c r="C7" s="6">
        <v>0.85486111111111107</v>
      </c>
      <c r="D7" s="16">
        <f t="shared" si="1"/>
        <v>0.42499999999999993</v>
      </c>
      <c r="E7" s="16">
        <f t="shared" si="2"/>
        <v>6.9444444444444198E-4</v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0.42777777777777776</v>
      </c>
      <c r="C8" s="18">
        <v>0.87777777777777777</v>
      </c>
      <c r="D8" s="19">
        <f t="shared" si="1"/>
        <v>0.45</v>
      </c>
      <c r="E8" s="19">
        <f t="shared" si="2"/>
        <v>2.3611111111111138E-2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0.43263888888888891</v>
      </c>
      <c r="C9" s="6">
        <v>0.87708333333333333</v>
      </c>
      <c r="D9" s="16">
        <f t="shared" si="1"/>
        <v>0.44444444444444442</v>
      </c>
      <c r="E9" s="16">
        <f t="shared" si="2"/>
        <v>2.2916666666666696E-2</v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0.43263888888888891</v>
      </c>
      <c r="C11" s="26">
        <v>0.85416666666666663</v>
      </c>
      <c r="D11" s="27">
        <f t="shared" si="1"/>
        <v>0.42152777777777772</v>
      </c>
      <c r="E11" s="28" t="str">
        <f t="shared" si="2"/>
        <v/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0.4284722222222222</v>
      </c>
      <c r="C12" s="29">
        <v>0.85763888888888884</v>
      </c>
      <c r="D12" s="30">
        <f t="shared" si="1"/>
        <v>0.42916666666666664</v>
      </c>
      <c r="E12" s="16">
        <f t="shared" si="2"/>
        <v>3.4722222222222099E-3</v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0.43125000000000002</v>
      </c>
      <c r="C13" s="29">
        <v>0.88611111111111107</v>
      </c>
      <c r="D13" s="30">
        <f t="shared" si="1"/>
        <v>0.45486111111111105</v>
      </c>
      <c r="E13" s="16">
        <f t="shared" si="2"/>
        <v>3.1944444444444442E-2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0.43263888888888891</v>
      </c>
      <c r="C14" s="29">
        <v>0.85416666666666663</v>
      </c>
      <c r="D14" s="30">
        <f t="shared" si="1"/>
        <v>0.42152777777777772</v>
      </c>
      <c r="E14" s="16" t="str">
        <f t="shared" si="2"/>
        <v/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0.43263888888888891</v>
      </c>
      <c r="C15" s="29">
        <v>0.85486111111111107</v>
      </c>
      <c r="D15" s="30">
        <f t="shared" si="1"/>
        <v>0.42222222222222217</v>
      </c>
      <c r="E15" s="16">
        <f t="shared" si="2"/>
        <v>6.9444444444444198E-4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0.43194444444444446</v>
      </c>
      <c r="C16" s="29">
        <v>0.85972222222222228</v>
      </c>
      <c r="D16" s="30">
        <f t="shared" si="1"/>
        <v>0.42777777777777781</v>
      </c>
      <c r="E16" s="16">
        <f t="shared" si="2"/>
        <v>5.5555555555556468E-3</v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40">
        <v>45913</v>
      </c>
      <c r="B18" s="41"/>
      <c r="C18" s="41"/>
      <c r="D18" s="43" t="str">
        <f t="shared" si="1"/>
        <v/>
      </c>
      <c r="E18" s="44" t="str">
        <f t="shared" si="2"/>
        <v/>
      </c>
      <c r="F18" s="44" t="str">
        <f t="shared" si="3"/>
        <v/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40">
        <v>45914</v>
      </c>
      <c r="B19" s="45"/>
      <c r="C19" s="41"/>
      <c r="D19" s="46" t="str">
        <f t="shared" si="1"/>
        <v/>
      </c>
      <c r="E19" s="42" t="str">
        <f t="shared" si="2"/>
        <v/>
      </c>
      <c r="F19" s="42" t="str">
        <f t="shared" si="3"/>
        <v/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0.42569444444444443</v>
      </c>
      <c r="C20" s="29">
        <v>0.8666666666666667</v>
      </c>
      <c r="D20" s="30">
        <f t="shared" si="1"/>
        <v>0.44097222222222227</v>
      </c>
      <c r="E20" s="16">
        <f t="shared" si="2"/>
        <v>1.2500000000000067E-2</v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0.42499999999999999</v>
      </c>
      <c r="C21" s="29">
        <v>0.8666666666666667</v>
      </c>
      <c r="D21" s="16">
        <f t="shared" si="1"/>
        <v>0.44166666666666671</v>
      </c>
      <c r="E21" s="16">
        <f t="shared" si="2"/>
        <v>1.2500000000000067E-2</v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0.42638888888888887</v>
      </c>
      <c r="C22" s="29">
        <v>0.86944444444444446</v>
      </c>
      <c r="D22" s="19">
        <f t="shared" si="1"/>
        <v>0.44305555555555559</v>
      </c>
      <c r="E22" s="19">
        <f t="shared" si="2"/>
        <v>1.5277777777777835E-2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0.42916666666666664</v>
      </c>
      <c r="C23" s="29">
        <v>0.85416666666666663</v>
      </c>
      <c r="D23" s="16">
        <f t="shared" si="1"/>
        <v>0.42499999999999999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0.4284722222222222</v>
      </c>
      <c r="C25" s="29">
        <v>0.86111111111111116</v>
      </c>
      <c r="D25" s="16">
        <f t="shared" si="1"/>
        <v>0.43263888888888896</v>
      </c>
      <c r="E25" s="16">
        <f t="shared" si="2"/>
        <v>6.9444444444445308E-3</v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0.43125000000000002</v>
      </c>
      <c r="C26" s="29">
        <v>0.85555555555555551</v>
      </c>
      <c r="D26" s="19">
        <f t="shared" si="1"/>
        <v>0.42430555555555549</v>
      </c>
      <c r="E26" s="19">
        <f t="shared" si="2"/>
        <v>1.388888888888884E-3</v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0.43888888888888888</v>
      </c>
      <c r="C27" s="29">
        <v>0.8833333333333333</v>
      </c>
      <c r="D27" s="16">
        <f t="shared" si="1"/>
        <v>0.44444444444444442</v>
      </c>
      <c r="E27" s="16">
        <f t="shared" si="2"/>
        <v>2.9166666666666674E-2</v>
      </c>
      <c r="F27" s="16">
        <f t="shared" si="3"/>
        <v>1.388888888888884E-3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0.42638888888888887</v>
      </c>
      <c r="C28" s="29">
        <v>0.875</v>
      </c>
      <c r="D28" s="16">
        <f t="shared" si="1"/>
        <v>0.44861111111111113</v>
      </c>
      <c r="E28" s="16">
        <f t="shared" si="2"/>
        <v>2.083333333333337E-2</v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0.42708333333333331</v>
      </c>
      <c r="C29" s="29">
        <v>0.86319444444444449</v>
      </c>
      <c r="D29" s="19">
        <f t="shared" si="1"/>
        <v>0.43611111111111117</v>
      </c>
      <c r="E29" s="19">
        <f t="shared" si="2"/>
        <v>9.0277777777778567E-3</v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0.43402777777777779</v>
      </c>
      <c r="C30" s="29">
        <v>0.86111111111111116</v>
      </c>
      <c r="D30" s="16">
        <f t="shared" si="1"/>
        <v>0.42708333333333337</v>
      </c>
      <c r="E30" s="16">
        <f t="shared" si="2"/>
        <v>6.9444444444445308E-3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0.43055555555555558</v>
      </c>
      <c r="C32" s="29">
        <v>0.85833333333333328</v>
      </c>
      <c r="D32" s="19">
        <f t="shared" si="1"/>
        <v>0.4277777777777777</v>
      </c>
      <c r="E32" s="16">
        <f t="shared" si="2"/>
        <v>4.1666666666666519E-3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0.43263888888888891</v>
      </c>
      <c r="C33" s="29">
        <v>0.88472222222222219</v>
      </c>
      <c r="D33" s="19">
        <f t="shared" si="1"/>
        <v>0.45208333333333328</v>
      </c>
      <c r="E33" s="16">
        <f t="shared" si="2"/>
        <v>3.0555555555555558E-2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0.43194444444444446</v>
      </c>
      <c r="C34" s="29">
        <v>0.87638888888888888</v>
      </c>
      <c r="D34" s="16">
        <f t="shared" si="1"/>
        <v>0.44444444444444442</v>
      </c>
      <c r="E34" s="16">
        <f t="shared" si="2"/>
        <v>2.2222222222222254E-2</v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0.42777777777777776</v>
      </c>
      <c r="C35" s="29">
        <v>0.87291666666666667</v>
      </c>
      <c r="D35" s="19">
        <f t="shared" si="1"/>
        <v>0.44513888888888892</v>
      </c>
      <c r="E35" s="19">
        <f t="shared" si="2"/>
        <v>1.8750000000000044E-2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15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0.30625000000000091</v>
      </c>
      <c r="F3" s="8">
        <f t="shared" si="0"/>
        <v>0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0.42916666666666664</v>
      </c>
      <c r="C6" s="6">
        <v>0.86458333333333337</v>
      </c>
      <c r="D6" s="16">
        <f t="shared" ref="D6:D36" si="1">IF(ISBLANK(B6),"", MOD((C6-B6),1))</f>
        <v>0.43541666666666673</v>
      </c>
      <c r="E6" s="16">
        <f t="shared" ref="E6:E36" si="2">IF(C6&gt;$C$3,C6-$C$3,"")</f>
        <v>1.0416666666666741E-2</v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0.42569444444444443</v>
      </c>
      <c r="C7" s="6">
        <v>0.85486111111111107</v>
      </c>
      <c r="D7" s="16">
        <f t="shared" si="1"/>
        <v>0.42916666666666664</v>
      </c>
      <c r="E7" s="16">
        <f t="shared" si="2"/>
        <v>6.9444444444444198E-4</v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0.42499999999999999</v>
      </c>
      <c r="C8" s="18">
        <v>0.87777777777777777</v>
      </c>
      <c r="D8" s="19">
        <f t="shared" si="1"/>
        <v>0.45277777777777778</v>
      </c>
      <c r="E8" s="19">
        <f t="shared" si="2"/>
        <v>2.3611111111111138E-2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0.43541666666666667</v>
      </c>
      <c r="C9" s="6">
        <v>0.86805555555555558</v>
      </c>
      <c r="D9" s="16">
        <f t="shared" si="1"/>
        <v>0.43263888888888891</v>
      </c>
      <c r="E9" s="16">
        <f t="shared" si="2"/>
        <v>1.3888888888888951E-2</v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0.42708333333333331</v>
      </c>
      <c r="C11" s="26">
        <v>0.85416666666666663</v>
      </c>
      <c r="D11" s="27">
        <f t="shared" si="1"/>
        <v>0.42708333333333331</v>
      </c>
      <c r="E11" s="28" t="str">
        <f t="shared" si="2"/>
        <v/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0.42777777777777776</v>
      </c>
      <c r="C12" s="29">
        <v>0.85763888888888884</v>
      </c>
      <c r="D12" s="30">
        <f t="shared" si="1"/>
        <v>0.42986111111111108</v>
      </c>
      <c r="E12" s="16">
        <f t="shared" si="2"/>
        <v>3.4722222222222099E-3</v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0.41736111111111113</v>
      </c>
      <c r="C13" s="29">
        <v>0.88611111111111107</v>
      </c>
      <c r="D13" s="30">
        <f t="shared" si="1"/>
        <v>0.46874999999999994</v>
      </c>
      <c r="E13" s="16">
        <f t="shared" si="2"/>
        <v>3.1944444444444442E-2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0.42430555555555555</v>
      </c>
      <c r="C14" s="29">
        <v>0.85416666666666663</v>
      </c>
      <c r="D14" s="30">
        <f t="shared" si="1"/>
        <v>0.42986111111111108</v>
      </c>
      <c r="E14" s="16" t="str">
        <f t="shared" si="2"/>
        <v/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0.42569444444444443</v>
      </c>
      <c r="C15" s="29">
        <v>0.85555555555555551</v>
      </c>
      <c r="D15" s="30">
        <f t="shared" si="1"/>
        <v>0.42986111111111108</v>
      </c>
      <c r="E15" s="16">
        <f t="shared" si="2"/>
        <v>1.388888888888884E-3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0.42291666666666666</v>
      </c>
      <c r="C16" s="29">
        <v>0.85972222222222228</v>
      </c>
      <c r="D16" s="30">
        <f t="shared" si="1"/>
        <v>0.43680555555555561</v>
      </c>
      <c r="E16" s="16">
        <f t="shared" si="2"/>
        <v>5.5555555555556468E-3</v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0.42638888888888887</v>
      </c>
      <c r="C18" s="29">
        <v>0.8569444444444444</v>
      </c>
      <c r="D18" s="30">
        <f t="shared" si="1"/>
        <v>0.43055555555555552</v>
      </c>
      <c r="E18" s="16">
        <f t="shared" si="2"/>
        <v>2.7777777777777679E-3</v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0.42777777777777776</v>
      </c>
      <c r="C19" s="29">
        <v>0.86319444444444449</v>
      </c>
      <c r="D19" s="32">
        <f t="shared" si="1"/>
        <v>0.43541666666666673</v>
      </c>
      <c r="E19" s="19">
        <f t="shared" si="2"/>
        <v>9.0277777777778567E-3</v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0.42708333333333331</v>
      </c>
      <c r="C20" s="29">
        <v>0.8666666666666667</v>
      </c>
      <c r="D20" s="30">
        <f t="shared" si="1"/>
        <v>0.43958333333333338</v>
      </c>
      <c r="E20" s="16">
        <f t="shared" si="2"/>
        <v>1.2500000000000067E-2</v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0.42499999999999999</v>
      </c>
      <c r="C21" s="29">
        <v>0.8666666666666667</v>
      </c>
      <c r="D21" s="16">
        <f t="shared" si="1"/>
        <v>0.44166666666666671</v>
      </c>
      <c r="E21" s="16">
        <f t="shared" si="2"/>
        <v>1.2500000000000067E-2</v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0.41736111111111113</v>
      </c>
      <c r="C22" s="29">
        <v>0.86944444444444446</v>
      </c>
      <c r="D22" s="19">
        <f t="shared" si="1"/>
        <v>0.45208333333333334</v>
      </c>
      <c r="E22" s="19">
        <f t="shared" si="2"/>
        <v>1.5277777777777835E-2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0.4236111111111111</v>
      </c>
      <c r="C23" s="29">
        <v>0.86805555555555558</v>
      </c>
      <c r="D23" s="16">
        <f t="shared" si="1"/>
        <v>0.44444444444444448</v>
      </c>
      <c r="E23" s="16">
        <f t="shared" si="2"/>
        <v>1.3888888888888951E-2</v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0.4201388888888889</v>
      </c>
      <c r="C25" s="29">
        <v>0.86111111111111116</v>
      </c>
      <c r="D25" s="16">
        <f t="shared" si="1"/>
        <v>0.44097222222222227</v>
      </c>
      <c r="E25" s="16">
        <f t="shared" si="2"/>
        <v>6.9444444444445308E-3</v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0.4236111111111111</v>
      </c>
      <c r="C26" s="29">
        <v>0.85555555555555551</v>
      </c>
      <c r="D26" s="19">
        <f t="shared" si="1"/>
        <v>0.43194444444444441</v>
      </c>
      <c r="E26" s="19">
        <f t="shared" si="2"/>
        <v>1.388888888888884E-3</v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0.43472222222222223</v>
      </c>
      <c r="C27" s="29">
        <v>0.8833333333333333</v>
      </c>
      <c r="D27" s="16">
        <f t="shared" si="1"/>
        <v>0.44861111111111107</v>
      </c>
      <c r="E27" s="16">
        <f t="shared" si="2"/>
        <v>2.9166666666666674E-2</v>
      </c>
      <c r="F27" s="16">
        <f t="shared" si="3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0.4236111111111111</v>
      </c>
      <c r="C28" s="29">
        <v>0.875</v>
      </c>
      <c r="D28" s="16">
        <f t="shared" si="1"/>
        <v>0.4513888888888889</v>
      </c>
      <c r="E28" s="16">
        <f t="shared" si="2"/>
        <v>2.083333333333337E-2</v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0.42430555555555555</v>
      </c>
      <c r="C29" s="29">
        <v>0.86250000000000004</v>
      </c>
      <c r="D29" s="19">
        <f t="shared" si="1"/>
        <v>0.4381944444444445</v>
      </c>
      <c r="E29" s="19">
        <f t="shared" si="2"/>
        <v>8.3333333333334147E-3</v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0.42430555555555555</v>
      </c>
      <c r="C30" s="29">
        <v>0.86111111111111116</v>
      </c>
      <c r="D30" s="16">
        <f t="shared" si="1"/>
        <v>0.43680555555555561</v>
      </c>
      <c r="E30" s="16">
        <f t="shared" si="2"/>
        <v>6.9444444444445308E-3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0.42569444444444443</v>
      </c>
      <c r="C32" s="29">
        <v>0.85833333333333328</v>
      </c>
      <c r="D32" s="19">
        <f t="shared" si="1"/>
        <v>0.43263888888888885</v>
      </c>
      <c r="E32" s="16">
        <f t="shared" si="2"/>
        <v>4.1666666666666519E-3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0.43333333333333335</v>
      </c>
      <c r="C33" s="29">
        <v>0.88472222222222219</v>
      </c>
      <c r="D33" s="19">
        <f t="shared" si="1"/>
        <v>0.45138888888888884</v>
      </c>
      <c r="E33" s="16">
        <f t="shared" si="2"/>
        <v>3.0555555555555558E-2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0.41805555555555557</v>
      </c>
      <c r="C34" s="29">
        <v>0.87638888888888888</v>
      </c>
      <c r="D34" s="16">
        <f t="shared" si="1"/>
        <v>0.45833333333333331</v>
      </c>
      <c r="E34" s="16">
        <f t="shared" si="2"/>
        <v>2.2222222222222254E-2</v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0.42291666666666666</v>
      </c>
      <c r="C35" s="29">
        <v>0.87291666666666667</v>
      </c>
      <c r="D35" s="19">
        <f t="shared" si="1"/>
        <v>0.45</v>
      </c>
      <c r="E35" s="19">
        <f t="shared" si="2"/>
        <v>1.8750000000000044E-2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16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0.23541666666666783</v>
      </c>
      <c r="F3" s="8">
        <f t="shared" si="0"/>
        <v>1.8055555555555547E-2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0.43541666666666667</v>
      </c>
      <c r="C6" s="6">
        <v>0.85902777777777772</v>
      </c>
      <c r="D6" s="16">
        <f t="shared" ref="D6:D36" si="1">IF(ISBLANK(B6),"", MOD((C6-B6),1))</f>
        <v>0.42361111111111105</v>
      </c>
      <c r="E6" s="16">
        <f t="shared" ref="E6:E36" si="2">IF(C6&gt;$C$3,C6-$C$3,"")</f>
        <v>4.8611111111110938E-3</v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0.43472222222222223</v>
      </c>
      <c r="C7" s="6">
        <v>0.85416666666666663</v>
      </c>
      <c r="D7" s="16">
        <f t="shared" si="1"/>
        <v>0.4194444444444444</v>
      </c>
      <c r="E7" s="16" t="str">
        <f t="shared" si="2"/>
        <v/>
      </c>
      <c r="F7" s="16">
        <f t="shared" si="3"/>
        <v>0</v>
      </c>
      <c r="G7" s="17"/>
      <c r="H7" s="35">
        <f>E3-F3</f>
        <v>0.21736111111111228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0.43541666666666667</v>
      </c>
      <c r="C8" s="18">
        <v>0.86527777777777781</v>
      </c>
      <c r="D8" s="19">
        <f t="shared" si="1"/>
        <v>0.42986111111111114</v>
      </c>
      <c r="E8" s="19">
        <f t="shared" si="2"/>
        <v>1.1111111111111183E-2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0.43541666666666667</v>
      </c>
      <c r="C9" s="6">
        <v>0.87847222222222221</v>
      </c>
      <c r="D9" s="16">
        <f t="shared" si="1"/>
        <v>0.44305555555555554</v>
      </c>
      <c r="E9" s="16">
        <f t="shared" si="2"/>
        <v>2.430555555555558E-2</v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0.43472222222222223</v>
      </c>
      <c r="C11" s="26">
        <v>0.86875000000000002</v>
      </c>
      <c r="D11" s="27">
        <f t="shared" si="1"/>
        <v>0.43402777777777779</v>
      </c>
      <c r="E11" s="28">
        <f t="shared" si="2"/>
        <v>1.4583333333333393E-2</v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0.43680555555555556</v>
      </c>
      <c r="C12" s="29">
        <v>0.8618055555555556</v>
      </c>
      <c r="D12" s="30">
        <f t="shared" si="1"/>
        <v>0.42500000000000004</v>
      </c>
      <c r="E12" s="16">
        <f t="shared" si="2"/>
        <v>7.6388888888889728E-3</v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0.43541666666666667</v>
      </c>
      <c r="C13" s="29">
        <v>0.86041666666666672</v>
      </c>
      <c r="D13" s="30">
        <f t="shared" si="1"/>
        <v>0.42500000000000004</v>
      </c>
      <c r="E13" s="16">
        <f t="shared" si="2"/>
        <v>6.2500000000000888E-3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0.43402777777777779</v>
      </c>
      <c r="C14" s="29">
        <v>0.85972222222222228</v>
      </c>
      <c r="D14" s="30">
        <f t="shared" si="1"/>
        <v>0.42569444444444449</v>
      </c>
      <c r="E14" s="16">
        <f t="shared" si="2"/>
        <v>5.5555555555556468E-3</v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0.43541666666666667</v>
      </c>
      <c r="C15" s="29">
        <v>0.86805555555555558</v>
      </c>
      <c r="D15" s="30">
        <f t="shared" si="1"/>
        <v>0.43263888888888891</v>
      </c>
      <c r="E15" s="16">
        <f t="shared" si="2"/>
        <v>1.3888888888888951E-2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0.43611111111111112</v>
      </c>
      <c r="C16" s="29">
        <v>0.86388888888888893</v>
      </c>
      <c r="D16" s="30">
        <f t="shared" si="1"/>
        <v>0.42777777777777781</v>
      </c>
      <c r="E16" s="16">
        <f t="shared" si="2"/>
        <v>9.7222222222222987E-3</v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0.43541666666666667</v>
      </c>
      <c r="C18" s="29">
        <v>0.85902777777777772</v>
      </c>
      <c r="D18" s="30">
        <f t="shared" si="1"/>
        <v>0.42361111111111105</v>
      </c>
      <c r="E18" s="16">
        <f t="shared" si="2"/>
        <v>4.8611111111110938E-3</v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0.43680555555555556</v>
      </c>
      <c r="C19" s="29">
        <v>0.86388888888888893</v>
      </c>
      <c r="D19" s="32">
        <f t="shared" si="1"/>
        <v>0.42708333333333337</v>
      </c>
      <c r="E19" s="19">
        <f t="shared" si="2"/>
        <v>9.7222222222222987E-3</v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0.43541666666666667</v>
      </c>
      <c r="C20" s="29">
        <v>0.87361111111111112</v>
      </c>
      <c r="D20" s="30">
        <f t="shared" si="1"/>
        <v>0.43819444444444444</v>
      </c>
      <c r="E20" s="16">
        <f t="shared" si="2"/>
        <v>1.9444444444444486E-2</v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0.43680555555555556</v>
      </c>
      <c r="C21" s="29">
        <v>0.86458333333333337</v>
      </c>
      <c r="D21" s="16">
        <f t="shared" si="1"/>
        <v>0.42777777777777781</v>
      </c>
      <c r="E21" s="16">
        <f t="shared" si="2"/>
        <v>1.0416666666666741E-2</v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0.43402777777777779</v>
      </c>
      <c r="C22" s="29">
        <v>0.86458333333333337</v>
      </c>
      <c r="D22" s="19">
        <f t="shared" si="1"/>
        <v>0.43055555555555558</v>
      </c>
      <c r="E22" s="19">
        <f t="shared" si="2"/>
        <v>1.0416666666666741E-2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0.43472222222222223</v>
      </c>
      <c r="C23" s="29">
        <v>0.86805555555555558</v>
      </c>
      <c r="D23" s="16">
        <f t="shared" si="1"/>
        <v>0.43333333333333335</v>
      </c>
      <c r="E23" s="16">
        <f t="shared" si="2"/>
        <v>1.3888888888888951E-2</v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0.43263888888888891</v>
      </c>
      <c r="C25" s="29">
        <v>0.86111111111111116</v>
      </c>
      <c r="D25" s="16">
        <f t="shared" si="1"/>
        <v>0.42847222222222225</v>
      </c>
      <c r="E25" s="16">
        <f t="shared" si="2"/>
        <v>6.9444444444445308E-3</v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0.43402777777777779</v>
      </c>
      <c r="C26" s="29">
        <v>0.85486111111111107</v>
      </c>
      <c r="D26" s="19">
        <f t="shared" si="1"/>
        <v>0.42083333333333328</v>
      </c>
      <c r="E26" s="19">
        <f t="shared" si="2"/>
        <v>6.9444444444444198E-4</v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0.45555555555555555</v>
      </c>
      <c r="C27" s="29">
        <v>0.86527777777777781</v>
      </c>
      <c r="D27" s="16">
        <f t="shared" si="1"/>
        <v>0.40972222222222227</v>
      </c>
      <c r="E27" s="16">
        <f t="shared" si="2"/>
        <v>1.1111111111111183E-2</v>
      </c>
      <c r="F27" s="16">
        <f t="shared" si="3"/>
        <v>1.8055555555555547E-2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0.43472222222222223</v>
      </c>
      <c r="C28" s="29">
        <v>0.85833333333333328</v>
      </c>
      <c r="D28" s="16">
        <f t="shared" si="1"/>
        <v>0.42361111111111105</v>
      </c>
      <c r="E28" s="16">
        <f t="shared" si="2"/>
        <v>4.1666666666666519E-3</v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0.43472222222222223</v>
      </c>
      <c r="C29" s="29">
        <v>0.86250000000000004</v>
      </c>
      <c r="D29" s="19">
        <f t="shared" si="1"/>
        <v>0.42777777777777781</v>
      </c>
      <c r="E29" s="19">
        <f t="shared" si="2"/>
        <v>8.3333333333334147E-3</v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0.43333333333333335</v>
      </c>
      <c r="C30" s="29">
        <v>0.86041666666666672</v>
      </c>
      <c r="D30" s="16">
        <f t="shared" si="1"/>
        <v>0.42708333333333337</v>
      </c>
      <c r="E30" s="16">
        <f t="shared" si="2"/>
        <v>6.2500000000000888E-3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0.43472222222222223</v>
      </c>
      <c r="C32" s="29">
        <v>0.85833333333333328</v>
      </c>
      <c r="D32" s="19">
        <f t="shared" si="1"/>
        <v>0.42361111111111105</v>
      </c>
      <c r="E32" s="16">
        <f t="shared" si="2"/>
        <v>4.1666666666666519E-3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0.43680555555555556</v>
      </c>
      <c r="C33" s="29">
        <v>0.85833333333333328</v>
      </c>
      <c r="D33" s="19">
        <f t="shared" si="1"/>
        <v>0.42152777777777772</v>
      </c>
      <c r="E33" s="16">
        <f t="shared" si="2"/>
        <v>4.1666666666666519E-3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0.43611111111111112</v>
      </c>
      <c r="C34" s="29">
        <v>0.87569444444444444</v>
      </c>
      <c r="D34" s="16">
        <f t="shared" si="1"/>
        <v>0.43958333333333333</v>
      </c>
      <c r="E34" s="16">
        <f t="shared" si="2"/>
        <v>2.1527777777777812E-2</v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0.43541666666666667</v>
      </c>
      <c r="C35" s="29">
        <v>0.85555555555555551</v>
      </c>
      <c r="D35" s="19">
        <f t="shared" si="1"/>
        <v>0.42013888888888884</v>
      </c>
      <c r="E35" s="19">
        <f t="shared" si="2"/>
        <v>1.388888888888884E-3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17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0.19583333333333408</v>
      </c>
      <c r="F3" s="8">
        <f t="shared" si="0"/>
        <v>2.7777777777777679E-3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0.43541666666666667</v>
      </c>
      <c r="C6" s="6">
        <v>0.85486111111111107</v>
      </c>
      <c r="D6" s="16">
        <f t="shared" ref="D6:D36" si="1">IF(ISBLANK(B6),"", MOD((C6-B6),1))</f>
        <v>0.4194444444444444</v>
      </c>
      <c r="E6" s="16">
        <f t="shared" ref="E6:E36" si="2">IF(C6&gt;$C$3,C6-$C$3,"")</f>
        <v>6.9444444444444198E-4</v>
      </c>
      <c r="F6" s="16">
        <f t="shared" ref="F6:F36" si="3">IF(ISBLANK(B6),"",IF($B$3&gt;B6,0,(B6-$B$3)))</f>
        <v>0</v>
      </c>
      <c r="G6" s="17"/>
      <c r="H6" s="35">
        <f>E3-F3</f>
        <v>0.19305555555555631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0.43402777777777779</v>
      </c>
      <c r="C7" s="6">
        <v>0.85486111111111107</v>
      </c>
      <c r="D7" s="16">
        <f t="shared" si="1"/>
        <v>0.42083333333333328</v>
      </c>
      <c r="E7" s="16">
        <f t="shared" si="2"/>
        <v>6.9444444444444198E-4</v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0.43263888888888891</v>
      </c>
      <c r="C8" s="18">
        <v>0.87013888888888891</v>
      </c>
      <c r="D8" s="19">
        <f t="shared" si="1"/>
        <v>0.4375</v>
      </c>
      <c r="E8" s="19">
        <f t="shared" si="2"/>
        <v>1.5972222222222276E-2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0.43263888888888891</v>
      </c>
      <c r="C9" s="6">
        <v>0.86875000000000002</v>
      </c>
      <c r="D9" s="16">
        <f t="shared" si="1"/>
        <v>0.43611111111111112</v>
      </c>
      <c r="E9" s="16">
        <f t="shared" si="2"/>
        <v>1.4583333333333393E-2</v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0.43611111111111112</v>
      </c>
      <c r="C11" s="26">
        <v>0.85486111111111107</v>
      </c>
      <c r="D11" s="27">
        <f t="shared" si="1"/>
        <v>0.41874999999999996</v>
      </c>
      <c r="E11" s="28">
        <f t="shared" si="2"/>
        <v>6.9444444444444198E-4</v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0.43472222222222223</v>
      </c>
      <c r="C12" s="29">
        <v>0.86736111111111114</v>
      </c>
      <c r="D12" s="30">
        <f t="shared" si="1"/>
        <v>0.43263888888888891</v>
      </c>
      <c r="E12" s="16">
        <f t="shared" si="2"/>
        <v>1.3194444444444509E-2</v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0.4375</v>
      </c>
      <c r="C13" s="29">
        <v>0.88611111111111107</v>
      </c>
      <c r="D13" s="30">
        <f t="shared" si="1"/>
        <v>0.44861111111111107</v>
      </c>
      <c r="E13" s="16">
        <f t="shared" si="2"/>
        <v>3.1944444444444442E-2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0.43402777777777779</v>
      </c>
      <c r="C14" s="29">
        <v>0.85416666666666663</v>
      </c>
      <c r="D14" s="30">
        <f t="shared" si="1"/>
        <v>0.42013888888888884</v>
      </c>
      <c r="E14" s="16" t="str">
        <f t="shared" si="2"/>
        <v/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0.43680555555555556</v>
      </c>
      <c r="C15" s="29">
        <v>0.85555555555555551</v>
      </c>
      <c r="D15" s="30">
        <f t="shared" si="1"/>
        <v>0.41874999999999996</v>
      </c>
      <c r="E15" s="16">
        <f t="shared" si="2"/>
        <v>1.388888888888884E-3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0.43611111111111112</v>
      </c>
      <c r="C16" s="29">
        <v>0.85972222222222228</v>
      </c>
      <c r="D16" s="30">
        <f t="shared" si="1"/>
        <v>0.42361111111111116</v>
      </c>
      <c r="E16" s="16">
        <f t="shared" si="2"/>
        <v>5.5555555555556468E-3</v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0.43472222222222223</v>
      </c>
      <c r="C18" s="29">
        <v>0.85624999999999996</v>
      </c>
      <c r="D18" s="30">
        <f t="shared" si="1"/>
        <v>0.42152777777777772</v>
      </c>
      <c r="E18" s="16">
        <f t="shared" si="2"/>
        <v>2.0833333333333259E-3</v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0.43680555555555556</v>
      </c>
      <c r="C19" s="29">
        <v>0.85486111111111107</v>
      </c>
      <c r="D19" s="32">
        <f t="shared" si="1"/>
        <v>0.41805555555555551</v>
      </c>
      <c r="E19" s="19">
        <f t="shared" si="2"/>
        <v>6.9444444444444198E-4</v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0.43611111111111112</v>
      </c>
      <c r="C20" s="29">
        <v>0.86597222222222225</v>
      </c>
      <c r="D20" s="30">
        <f t="shared" si="1"/>
        <v>0.42986111111111114</v>
      </c>
      <c r="E20" s="16">
        <f t="shared" si="2"/>
        <v>1.1805555555555625E-2</v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0.44027777777777777</v>
      </c>
      <c r="C21" s="29">
        <v>0.86527777777777781</v>
      </c>
      <c r="D21" s="16">
        <f t="shared" si="1"/>
        <v>0.42500000000000004</v>
      </c>
      <c r="E21" s="16">
        <f t="shared" si="2"/>
        <v>1.1111111111111183E-2</v>
      </c>
      <c r="F21" s="16">
        <f t="shared" si="3"/>
        <v>2.7777777777777679E-3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0.43402777777777779</v>
      </c>
      <c r="C22" s="29">
        <v>0.86250000000000004</v>
      </c>
      <c r="D22" s="19">
        <f t="shared" si="1"/>
        <v>0.42847222222222225</v>
      </c>
      <c r="E22" s="19">
        <f t="shared" si="2"/>
        <v>8.3333333333334147E-3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0.43472222222222223</v>
      </c>
      <c r="C23" s="29">
        <v>0.85486111111111107</v>
      </c>
      <c r="D23" s="16">
        <f t="shared" si="1"/>
        <v>0.42013888888888884</v>
      </c>
      <c r="E23" s="16">
        <f t="shared" si="2"/>
        <v>6.9444444444444198E-4</v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0.43402777777777779</v>
      </c>
      <c r="C25" s="29">
        <v>0.86111111111111116</v>
      </c>
      <c r="D25" s="16">
        <f t="shared" si="1"/>
        <v>0.42708333333333337</v>
      </c>
      <c r="E25" s="16">
        <f t="shared" si="2"/>
        <v>6.9444444444445308E-3</v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0.43402777777777779</v>
      </c>
      <c r="C26" s="29">
        <v>0.85486111111111107</v>
      </c>
      <c r="D26" s="19">
        <f t="shared" si="1"/>
        <v>0.42083333333333328</v>
      </c>
      <c r="E26" s="19">
        <f t="shared" si="2"/>
        <v>6.9444444444444198E-4</v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0.43472222222222223</v>
      </c>
      <c r="C27" s="29">
        <v>0.86527777777777781</v>
      </c>
      <c r="D27" s="16">
        <f t="shared" si="1"/>
        <v>0.43055555555555558</v>
      </c>
      <c r="E27" s="16">
        <f t="shared" si="2"/>
        <v>1.1111111111111183E-2</v>
      </c>
      <c r="F27" s="16">
        <f t="shared" si="3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0.43402777777777779</v>
      </c>
      <c r="C28" s="29">
        <v>0.85833333333333328</v>
      </c>
      <c r="D28" s="16">
        <f t="shared" si="1"/>
        <v>0.42430555555555549</v>
      </c>
      <c r="E28" s="16">
        <f t="shared" si="2"/>
        <v>4.1666666666666519E-3</v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0.43333333333333335</v>
      </c>
      <c r="C29" s="29">
        <v>0.85972222222222228</v>
      </c>
      <c r="D29" s="19">
        <f t="shared" si="1"/>
        <v>0.42638888888888893</v>
      </c>
      <c r="E29" s="19">
        <f t="shared" si="2"/>
        <v>5.5555555555556468E-3</v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0.43263888888888891</v>
      </c>
      <c r="C30" s="29">
        <v>0.85555555555555551</v>
      </c>
      <c r="D30" s="16">
        <f t="shared" si="1"/>
        <v>0.42291666666666661</v>
      </c>
      <c r="E30" s="16">
        <f t="shared" si="2"/>
        <v>1.388888888888884E-3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0.43333333333333335</v>
      </c>
      <c r="C32" s="29">
        <v>0.85833333333333328</v>
      </c>
      <c r="D32" s="19">
        <f t="shared" si="1"/>
        <v>0.42499999999999993</v>
      </c>
      <c r="E32" s="16">
        <f t="shared" si="2"/>
        <v>4.1666666666666519E-3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0.43263888888888891</v>
      </c>
      <c r="C33" s="29">
        <v>0.87222222222222223</v>
      </c>
      <c r="D33" s="19">
        <f t="shared" si="1"/>
        <v>0.43958333333333333</v>
      </c>
      <c r="E33" s="16">
        <f t="shared" si="2"/>
        <v>1.8055555555555602E-2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0.43402777777777779</v>
      </c>
      <c r="C34" s="29">
        <v>0.87638888888888888</v>
      </c>
      <c r="D34" s="16">
        <f t="shared" si="1"/>
        <v>0.44236111111111109</v>
      </c>
      <c r="E34" s="16">
        <f t="shared" si="2"/>
        <v>2.2222222222222254E-2</v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0.43402777777777779</v>
      </c>
      <c r="C35" s="29">
        <v>0.85624999999999996</v>
      </c>
      <c r="D35" s="19">
        <f t="shared" si="1"/>
        <v>0.42222222222222217</v>
      </c>
      <c r="E35" s="19">
        <f t="shared" si="2"/>
        <v>2.0833333333333259E-3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18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3.2638888888888995E-2</v>
      </c>
      <c r="F3" s="8">
        <f t="shared" si="0"/>
        <v>6.1805555555555503E-2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0.42708333333333331</v>
      </c>
      <c r="C6" s="6">
        <v>0.85416666666666663</v>
      </c>
      <c r="D6" s="16">
        <f t="shared" ref="D6:D36" si="1">IF(ISBLANK(B6),"", MOD((C6-B6),1))</f>
        <v>0.42708333333333331</v>
      </c>
      <c r="E6" s="16" t="str">
        <f t="shared" ref="E6:E36" si="2">IF(C6&gt;$C$3,C6-$C$3,"")</f>
        <v/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0.44374999999999998</v>
      </c>
      <c r="C7" s="6">
        <v>0.85416666666666663</v>
      </c>
      <c r="D7" s="16">
        <f t="shared" si="1"/>
        <v>0.41041666666666665</v>
      </c>
      <c r="E7" s="16" t="str">
        <f t="shared" si="2"/>
        <v/>
      </c>
      <c r="F7" s="16">
        <f t="shared" si="3"/>
        <v>6.2499999999999778E-3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0.43611111111111112</v>
      </c>
      <c r="C8" s="18">
        <v>0.85416666666666663</v>
      </c>
      <c r="D8" s="19">
        <f t="shared" si="1"/>
        <v>0.41805555555555551</v>
      </c>
      <c r="E8" s="19" t="str">
        <f t="shared" si="2"/>
        <v/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0.43819444444444444</v>
      </c>
      <c r="C9" s="6">
        <v>0.85416666666666663</v>
      </c>
      <c r="D9" s="16">
        <f t="shared" si="1"/>
        <v>0.41597222222222219</v>
      </c>
      <c r="E9" s="16" t="str">
        <f t="shared" si="2"/>
        <v/>
      </c>
      <c r="F9" s="16">
        <f t="shared" si="3"/>
        <v>6.9444444444444198E-4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47">
        <v>45906</v>
      </c>
      <c r="B11" s="48"/>
      <c r="C11" s="48"/>
      <c r="D11" s="49" t="str">
        <f t="shared" si="1"/>
        <v/>
      </c>
      <c r="E11" s="50" t="str">
        <f t="shared" si="2"/>
        <v/>
      </c>
      <c r="F11" s="50" t="str">
        <f t="shared" si="3"/>
        <v/>
      </c>
      <c r="G11" s="17" t="s">
        <v>19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0.43680555555555556</v>
      </c>
      <c r="C12" s="29">
        <v>0.78125</v>
      </c>
      <c r="D12" s="30">
        <f t="shared" si="1"/>
        <v>0.34444444444444444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40">
        <v>45908</v>
      </c>
      <c r="B13" s="41"/>
      <c r="C13" s="41"/>
      <c r="D13" s="43" t="str">
        <f t="shared" si="1"/>
        <v/>
      </c>
      <c r="E13" s="44" t="str">
        <f t="shared" si="2"/>
        <v/>
      </c>
      <c r="F13" s="44" t="str">
        <f t="shared" si="3"/>
        <v/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0.44166666666666665</v>
      </c>
      <c r="C14" s="29">
        <v>0.85416666666666663</v>
      </c>
      <c r="D14" s="30">
        <f t="shared" si="1"/>
        <v>0.41249999999999998</v>
      </c>
      <c r="E14" s="16" t="str">
        <f t="shared" si="2"/>
        <v/>
      </c>
      <c r="F14" s="16">
        <f t="shared" si="3"/>
        <v>4.1666666666666519E-3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0.44305555555555554</v>
      </c>
      <c r="C15" s="29">
        <v>0.85416666666666663</v>
      </c>
      <c r="D15" s="30">
        <f t="shared" si="1"/>
        <v>0.41111111111111109</v>
      </c>
      <c r="E15" s="16" t="str">
        <f t="shared" si="2"/>
        <v/>
      </c>
      <c r="F15" s="16">
        <f t="shared" si="3"/>
        <v>5.5555555555555358E-3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0.43819444444444444</v>
      </c>
      <c r="C16" s="29">
        <v>0.85416666666666663</v>
      </c>
      <c r="D16" s="30">
        <f t="shared" si="1"/>
        <v>0.41597222222222219</v>
      </c>
      <c r="E16" s="16" t="str">
        <f t="shared" si="2"/>
        <v/>
      </c>
      <c r="F16" s="16">
        <f t="shared" si="3"/>
        <v>6.9444444444444198E-4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0.46527777777777779</v>
      </c>
      <c r="C18" s="29">
        <v>0.875</v>
      </c>
      <c r="D18" s="30">
        <f t="shared" si="1"/>
        <v>0.40972222222222221</v>
      </c>
      <c r="E18" s="16">
        <f t="shared" si="2"/>
        <v>2.083333333333337E-2</v>
      </c>
      <c r="F18" s="16">
        <f t="shared" si="3"/>
        <v>2.777777777777779E-2</v>
      </c>
      <c r="G18" s="51" t="s">
        <v>20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0.44791666666666669</v>
      </c>
      <c r="C19" s="29">
        <v>0.85416666666666663</v>
      </c>
      <c r="D19" s="32">
        <f t="shared" si="1"/>
        <v>0.40624999999999994</v>
      </c>
      <c r="E19" s="19" t="str">
        <f t="shared" si="2"/>
        <v/>
      </c>
      <c r="F19" s="19">
        <f t="shared" si="3"/>
        <v>1.0416666666666685E-2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0.43958333333333333</v>
      </c>
      <c r="C20" s="29">
        <v>0.85416666666666663</v>
      </c>
      <c r="D20" s="30">
        <f t="shared" si="1"/>
        <v>0.4145833333333333</v>
      </c>
      <c r="E20" s="16" t="str">
        <f t="shared" si="2"/>
        <v/>
      </c>
      <c r="F20" s="16">
        <f t="shared" si="3"/>
        <v>2.0833333333333259E-3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0.43402777777777779</v>
      </c>
      <c r="C21" s="29">
        <v>0.85555555555555551</v>
      </c>
      <c r="D21" s="16">
        <f t="shared" si="1"/>
        <v>0.42152777777777772</v>
      </c>
      <c r="E21" s="16">
        <f t="shared" si="2"/>
        <v>1.388888888888884E-3</v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0.4375</v>
      </c>
      <c r="C22" s="29">
        <v>0.86250000000000004</v>
      </c>
      <c r="D22" s="19">
        <f t="shared" si="1"/>
        <v>0.42500000000000004</v>
      </c>
      <c r="E22" s="19">
        <f t="shared" si="2"/>
        <v>8.3333333333334147E-3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0.4375</v>
      </c>
      <c r="C23" s="29">
        <v>0.85416666666666663</v>
      </c>
      <c r="D23" s="16">
        <f t="shared" si="1"/>
        <v>0.41666666666666663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0.43611111111111112</v>
      </c>
      <c r="C25" s="29">
        <v>0.85416666666666663</v>
      </c>
      <c r="D25" s="16">
        <f t="shared" si="1"/>
        <v>0.41805555555555551</v>
      </c>
      <c r="E25" s="16" t="str">
        <f t="shared" si="2"/>
        <v/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0.43541666666666667</v>
      </c>
      <c r="C26" s="29">
        <v>0.85416666666666663</v>
      </c>
      <c r="D26" s="19">
        <f t="shared" si="1"/>
        <v>0.41874999999999996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0.43888888888888888</v>
      </c>
      <c r="C27" s="29">
        <v>0.85416666666666663</v>
      </c>
      <c r="D27" s="16">
        <f t="shared" si="1"/>
        <v>0.41527777777777775</v>
      </c>
      <c r="E27" s="16" t="str">
        <f t="shared" si="2"/>
        <v/>
      </c>
      <c r="F27" s="16">
        <f t="shared" si="3"/>
        <v>1.388888888888884E-3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0.44027777777777777</v>
      </c>
      <c r="C28" s="29">
        <v>0.85416666666666663</v>
      </c>
      <c r="D28" s="16">
        <f t="shared" si="1"/>
        <v>0.41388888888888886</v>
      </c>
      <c r="E28" s="16" t="str">
        <f t="shared" si="2"/>
        <v/>
      </c>
      <c r="F28" s="16">
        <f t="shared" si="3"/>
        <v>2.7777777777777679E-3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0.43472222222222223</v>
      </c>
      <c r="C29" s="29">
        <v>0.85416666666666663</v>
      </c>
      <c r="D29" s="19">
        <f t="shared" si="1"/>
        <v>0.4194444444444444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0.43680555555555556</v>
      </c>
      <c r="C30" s="29">
        <v>0.85416666666666663</v>
      </c>
      <c r="D30" s="16">
        <f t="shared" si="1"/>
        <v>0.41736111111111107</v>
      </c>
      <c r="E30" s="16" t="str">
        <f t="shared" si="2"/>
        <v/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0.43680555555555556</v>
      </c>
      <c r="C32" s="29">
        <v>0.85416666666666663</v>
      </c>
      <c r="D32" s="19">
        <f t="shared" si="1"/>
        <v>0.41736111111111107</v>
      </c>
      <c r="E32" s="16" t="str">
        <f t="shared" si="2"/>
        <v/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0.4375</v>
      </c>
      <c r="C33" s="29">
        <v>0.85416666666666663</v>
      </c>
      <c r="D33" s="19">
        <f t="shared" si="1"/>
        <v>0.41666666666666663</v>
      </c>
      <c r="E33" s="16" t="str">
        <f t="shared" si="2"/>
        <v/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40">
        <v>45929</v>
      </c>
      <c r="B34" s="41"/>
      <c r="C34" s="41"/>
      <c r="D34" s="44" t="str">
        <f t="shared" si="1"/>
        <v/>
      </c>
      <c r="E34" s="44" t="str">
        <f t="shared" si="2"/>
        <v/>
      </c>
      <c r="F34" s="44" t="str">
        <f t="shared" si="3"/>
        <v/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0.43611111111111112</v>
      </c>
      <c r="C35" s="29">
        <v>0.85624999999999996</v>
      </c>
      <c r="D35" s="19">
        <f t="shared" si="1"/>
        <v>0.42013888888888884</v>
      </c>
      <c r="E35" s="19">
        <f t="shared" si="2"/>
        <v>2.0833333333333259E-3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21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0.45833333333333331</v>
      </c>
      <c r="C3" s="6">
        <v>0.875</v>
      </c>
      <c r="D3" s="7"/>
      <c r="E3" s="8">
        <f t="shared" ref="E3:F3" si="0">SUM(E6:E36)</f>
        <v>8.6805555555555691E-2</v>
      </c>
      <c r="F3" s="8">
        <f t="shared" si="0"/>
        <v>0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0.44444444444444442</v>
      </c>
      <c r="C6" s="6">
        <v>0.875</v>
      </c>
      <c r="D6" s="16">
        <f t="shared" ref="D6:D36" si="1">IF(ISBLANK(B6),"", MOD((C6-B6),1))</f>
        <v>0.43055555555555558</v>
      </c>
      <c r="E6" s="16" t="str">
        <f t="shared" ref="E6:E36" si="2">IF(C6&gt;$C$3,C6-$C$3,"")</f>
        <v/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0.44444444444444442</v>
      </c>
      <c r="C7" s="6">
        <v>0.875</v>
      </c>
      <c r="D7" s="16">
        <f t="shared" si="1"/>
        <v>0.43055555555555558</v>
      </c>
      <c r="E7" s="16" t="str">
        <f t="shared" si="2"/>
        <v/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0.44444444444444442</v>
      </c>
      <c r="C8" s="18">
        <v>0.87847222222222221</v>
      </c>
      <c r="D8" s="19">
        <f t="shared" si="1"/>
        <v>0.43402777777777779</v>
      </c>
      <c r="E8" s="19">
        <f t="shared" si="2"/>
        <v>3.4722222222222099E-3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25">
        <v>45904</v>
      </c>
      <c r="B9" s="52"/>
      <c r="C9" s="52"/>
      <c r="D9" s="28" t="str">
        <f t="shared" si="1"/>
        <v/>
      </c>
      <c r="E9" s="28" t="str">
        <f t="shared" si="2"/>
        <v/>
      </c>
      <c r="F9" s="28" t="str">
        <f t="shared" si="3"/>
        <v/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15">
        <v>45905</v>
      </c>
      <c r="B10" s="31">
        <v>0.44444444444444442</v>
      </c>
      <c r="C10" s="31">
        <v>0.89583333333333337</v>
      </c>
      <c r="D10" s="32">
        <f t="shared" si="1"/>
        <v>0.45138888888888895</v>
      </c>
      <c r="E10" s="16">
        <f t="shared" si="2"/>
        <v>2.083333333333337E-2</v>
      </c>
      <c r="F10" s="19">
        <f t="shared" si="3"/>
        <v>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0.44791666666666669</v>
      </c>
      <c r="C11" s="26">
        <v>0.875</v>
      </c>
      <c r="D11" s="27">
        <f t="shared" si="1"/>
        <v>0.42708333333333331</v>
      </c>
      <c r="E11" s="28" t="str">
        <f t="shared" si="2"/>
        <v/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0.44444444444444442</v>
      </c>
      <c r="C12" s="29">
        <v>0.875</v>
      </c>
      <c r="D12" s="30">
        <f t="shared" si="1"/>
        <v>0.43055555555555558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0.44513888888888886</v>
      </c>
      <c r="C13" s="29">
        <v>0.875</v>
      </c>
      <c r="D13" s="30">
        <f t="shared" si="1"/>
        <v>0.42986111111111114</v>
      </c>
      <c r="E13" s="16" t="str">
        <f t="shared" si="2"/>
        <v/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0.44444444444444442</v>
      </c>
      <c r="C14" s="29">
        <v>0.875</v>
      </c>
      <c r="D14" s="30">
        <f t="shared" si="1"/>
        <v>0.43055555555555558</v>
      </c>
      <c r="E14" s="16" t="str">
        <f t="shared" si="2"/>
        <v/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0.44444444444444442</v>
      </c>
      <c r="C15" s="29">
        <v>0.875</v>
      </c>
      <c r="D15" s="30">
        <f t="shared" si="1"/>
        <v>0.43055555555555558</v>
      </c>
      <c r="E15" s="16" t="str">
        <f t="shared" si="2"/>
        <v/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25">
        <v>45911</v>
      </c>
      <c r="B16" s="26"/>
      <c r="C16" s="26"/>
      <c r="D16" s="27" t="str">
        <f t="shared" si="1"/>
        <v/>
      </c>
      <c r="E16" s="28" t="str">
        <f t="shared" si="2"/>
        <v/>
      </c>
      <c r="F16" s="28" t="str">
        <f t="shared" si="3"/>
        <v/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15">
        <v>45912</v>
      </c>
      <c r="B17" s="29">
        <v>0.4513888888888889</v>
      </c>
      <c r="C17" s="29">
        <v>0.89583333333333337</v>
      </c>
      <c r="D17" s="30">
        <f t="shared" si="1"/>
        <v>0.44444444444444448</v>
      </c>
      <c r="E17" s="16">
        <f t="shared" si="2"/>
        <v>2.083333333333337E-2</v>
      </c>
      <c r="F17" s="16">
        <f t="shared" si="3"/>
        <v>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0.44583333333333336</v>
      </c>
      <c r="C18" s="29">
        <v>0.875</v>
      </c>
      <c r="D18" s="30">
        <f t="shared" si="1"/>
        <v>0.42916666666666664</v>
      </c>
      <c r="E18" s="16" t="str">
        <f t="shared" si="2"/>
        <v/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0.44513888888888886</v>
      </c>
      <c r="C19" s="29">
        <v>0.875</v>
      </c>
      <c r="D19" s="32">
        <f t="shared" si="1"/>
        <v>0.42986111111111114</v>
      </c>
      <c r="E19" s="19" t="str">
        <f t="shared" si="2"/>
        <v/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0.44444444444444442</v>
      </c>
      <c r="C20" s="29">
        <v>0.875</v>
      </c>
      <c r="D20" s="30">
        <f t="shared" si="1"/>
        <v>0.43055555555555558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0.44444444444444442</v>
      </c>
      <c r="C21" s="29">
        <v>0.875</v>
      </c>
      <c r="D21" s="16">
        <f t="shared" si="1"/>
        <v>0.43055555555555558</v>
      </c>
      <c r="E21" s="16" t="str">
        <f t="shared" si="2"/>
        <v/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0.44444444444444442</v>
      </c>
      <c r="C22" s="29">
        <v>0.875</v>
      </c>
      <c r="D22" s="19">
        <f t="shared" si="1"/>
        <v>0.43055555555555558</v>
      </c>
      <c r="E22" s="19" t="str">
        <f t="shared" si="2"/>
        <v/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25">
        <v>45918</v>
      </c>
      <c r="B23" s="26"/>
      <c r="C23" s="26"/>
      <c r="D23" s="28" t="str">
        <f t="shared" si="1"/>
        <v/>
      </c>
      <c r="E23" s="28" t="str">
        <f t="shared" si="2"/>
        <v/>
      </c>
      <c r="F23" s="28" t="str">
        <f t="shared" si="3"/>
        <v/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15">
        <v>45919</v>
      </c>
      <c r="B24" s="29">
        <v>0.44444444444444442</v>
      </c>
      <c r="C24" s="29">
        <v>0.89583333333333337</v>
      </c>
      <c r="D24" s="19">
        <f t="shared" si="1"/>
        <v>0.45138888888888895</v>
      </c>
      <c r="E24" s="16">
        <f t="shared" si="2"/>
        <v>2.083333333333337E-2</v>
      </c>
      <c r="F24" s="19">
        <f t="shared" si="3"/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0.44513888888888886</v>
      </c>
      <c r="C25" s="29">
        <v>0.875</v>
      </c>
      <c r="D25" s="16">
        <f t="shared" si="1"/>
        <v>0.42986111111111114</v>
      </c>
      <c r="E25" s="16" t="str">
        <f t="shared" si="2"/>
        <v/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0.44444444444444442</v>
      </c>
      <c r="C26" s="29">
        <v>0.875</v>
      </c>
      <c r="D26" s="19">
        <f t="shared" si="1"/>
        <v>0.43055555555555558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0.44444444444444442</v>
      </c>
      <c r="C27" s="29">
        <v>0.875</v>
      </c>
      <c r="D27" s="16">
        <f t="shared" si="1"/>
        <v>0.43055555555555558</v>
      </c>
      <c r="E27" s="16" t="str">
        <f t="shared" si="2"/>
        <v/>
      </c>
      <c r="F27" s="16">
        <f t="shared" si="3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0.44444444444444442</v>
      </c>
      <c r="C28" s="29">
        <v>0.875</v>
      </c>
      <c r="D28" s="16">
        <f t="shared" si="1"/>
        <v>0.43055555555555558</v>
      </c>
      <c r="E28" s="16" t="str">
        <f t="shared" si="2"/>
        <v/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0.44444444444444442</v>
      </c>
      <c r="C29" s="29">
        <v>0.875</v>
      </c>
      <c r="D29" s="19">
        <f t="shared" si="1"/>
        <v>0.43055555555555558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25">
        <v>45925</v>
      </c>
      <c r="B30" s="26">
        <v>0.44583333333333336</v>
      </c>
      <c r="C30" s="26">
        <v>0.875</v>
      </c>
      <c r="D30" s="28">
        <f t="shared" si="1"/>
        <v>0.42916666666666664</v>
      </c>
      <c r="E30" s="28" t="str">
        <f t="shared" si="2"/>
        <v/>
      </c>
      <c r="F30" s="28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15">
        <v>45926</v>
      </c>
      <c r="B31" s="29">
        <v>0.44444444444444442</v>
      </c>
      <c r="C31" s="29">
        <v>0.89583333333333337</v>
      </c>
      <c r="D31" s="19">
        <f t="shared" si="1"/>
        <v>0.45138888888888895</v>
      </c>
      <c r="E31" s="19">
        <f t="shared" si="2"/>
        <v>2.083333333333337E-2</v>
      </c>
      <c r="F31" s="19">
        <f t="shared" si="3"/>
        <v>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0.44444444444444442</v>
      </c>
      <c r="C32" s="29">
        <v>0.875</v>
      </c>
      <c r="D32" s="19">
        <f t="shared" si="1"/>
        <v>0.43055555555555558</v>
      </c>
      <c r="E32" s="16" t="str">
        <f t="shared" si="2"/>
        <v/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0.44444444444444442</v>
      </c>
      <c r="C33" s="29">
        <v>0.875</v>
      </c>
      <c r="D33" s="19">
        <f t="shared" si="1"/>
        <v>0.43055555555555558</v>
      </c>
      <c r="E33" s="16" t="str">
        <f t="shared" si="2"/>
        <v/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0.44444444444444442</v>
      </c>
      <c r="C34" s="29">
        <v>0.875</v>
      </c>
      <c r="D34" s="16">
        <f t="shared" si="1"/>
        <v>0.43055555555555558</v>
      </c>
      <c r="E34" s="16" t="str">
        <f t="shared" si="2"/>
        <v/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0.44444444444444442</v>
      </c>
      <c r="C35" s="29">
        <v>0.875</v>
      </c>
      <c r="D35" s="19">
        <f t="shared" si="1"/>
        <v>0.43055555555555558</v>
      </c>
      <c r="E35" s="19" t="str">
        <f t="shared" si="2"/>
        <v/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22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0.45833333333333331</v>
      </c>
      <c r="C3" s="6">
        <v>0.875</v>
      </c>
      <c r="D3" s="7"/>
      <c r="E3" s="8">
        <f t="shared" ref="E3:F3" si="0">SUM(E6:E36)</f>
        <v>8.6805555555555691E-2</v>
      </c>
      <c r="F3" s="8">
        <f t="shared" si="0"/>
        <v>7.5694444444444564E-2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  <c r="H4" s="12">
        <f>E3-F3</f>
        <v>1.1111111111111127E-2</v>
      </c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0.44791666666666669</v>
      </c>
      <c r="C6" s="6">
        <v>0.875</v>
      </c>
      <c r="D6" s="16">
        <f t="shared" ref="D6:D36" si="1">IF(ISBLANK(B6),"", MOD((C6-B6),1))</f>
        <v>0.42708333333333331</v>
      </c>
      <c r="E6" s="16" t="str">
        <f t="shared" ref="E6:E36" si="2">IF(C6&gt;$C$3,C6-$C$3,"")</f>
        <v/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0.44791666666666669</v>
      </c>
      <c r="C7" s="6">
        <v>0.875</v>
      </c>
      <c r="D7" s="16">
        <f t="shared" si="1"/>
        <v>0.42708333333333331</v>
      </c>
      <c r="E7" s="16" t="str">
        <f t="shared" si="2"/>
        <v/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0.4465277777777778</v>
      </c>
      <c r="C8" s="18">
        <v>0.87847222222222221</v>
      </c>
      <c r="D8" s="19">
        <f t="shared" si="1"/>
        <v>0.43194444444444441</v>
      </c>
      <c r="E8" s="19">
        <f t="shared" si="2"/>
        <v>3.4722222222222099E-3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25">
        <v>45904</v>
      </c>
      <c r="B9" s="52"/>
      <c r="C9" s="52"/>
      <c r="D9" s="28" t="str">
        <f t="shared" si="1"/>
        <v/>
      </c>
      <c r="E9" s="28" t="str">
        <f t="shared" si="2"/>
        <v/>
      </c>
      <c r="F9" s="28" t="str">
        <f t="shared" si="3"/>
        <v/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15">
        <v>45905</v>
      </c>
      <c r="B10" s="31">
        <v>0.46527777777777779</v>
      </c>
      <c r="C10" s="31">
        <v>0.89583333333333337</v>
      </c>
      <c r="D10" s="32">
        <f t="shared" si="1"/>
        <v>0.43055555555555558</v>
      </c>
      <c r="E10" s="16">
        <f t="shared" si="2"/>
        <v>2.083333333333337E-2</v>
      </c>
      <c r="F10" s="19">
        <f t="shared" si="3"/>
        <v>6.9444444444444753E-3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0.44930555555555557</v>
      </c>
      <c r="C11" s="26">
        <v>0.875</v>
      </c>
      <c r="D11" s="27">
        <f t="shared" si="1"/>
        <v>0.42569444444444443</v>
      </c>
      <c r="E11" s="28" t="str">
        <f t="shared" si="2"/>
        <v/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0.45347222222222222</v>
      </c>
      <c r="C12" s="29">
        <v>0.875</v>
      </c>
      <c r="D12" s="30">
        <f t="shared" si="1"/>
        <v>0.42152777777777778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0.46319444444444446</v>
      </c>
      <c r="C13" s="29">
        <v>0.875</v>
      </c>
      <c r="D13" s="30">
        <f t="shared" si="1"/>
        <v>0.41180555555555554</v>
      </c>
      <c r="E13" s="16" t="str">
        <f t="shared" si="2"/>
        <v/>
      </c>
      <c r="F13" s="16">
        <f t="shared" si="3"/>
        <v>4.8611111111111494E-3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0.4513888888888889</v>
      </c>
      <c r="C14" s="29">
        <v>0.875</v>
      </c>
      <c r="D14" s="30">
        <f t="shared" si="1"/>
        <v>0.4236111111111111</v>
      </c>
      <c r="E14" s="16" t="str">
        <f t="shared" si="2"/>
        <v/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0.45624999999999999</v>
      </c>
      <c r="C15" s="29">
        <v>0.875</v>
      </c>
      <c r="D15" s="30">
        <f t="shared" si="1"/>
        <v>0.41875000000000001</v>
      </c>
      <c r="E15" s="16" t="str">
        <f t="shared" si="2"/>
        <v/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25">
        <v>45911</v>
      </c>
      <c r="B16" s="26"/>
      <c r="C16" s="26"/>
      <c r="D16" s="27" t="str">
        <f t="shared" si="1"/>
        <v/>
      </c>
      <c r="E16" s="28" t="str">
        <f t="shared" si="2"/>
        <v/>
      </c>
      <c r="F16" s="28" t="str">
        <f t="shared" si="3"/>
        <v/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15">
        <v>45912</v>
      </c>
      <c r="B17" s="29">
        <v>0.45624999999999999</v>
      </c>
      <c r="C17" s="29">
        <v>0.89583333333333337</v>
      </c>
      <c r="D17" s="30">
        <f t="shared" si="1"/>
        <v>0.43958333333333338</v>
      </c>
      <c r="E17" s="16">
        <f t="shared" si="2"/>
        <v>2.083333333333337E-2</v>
      </c>
      <c r="F17" s="16">
        <f t="shared" si="3"/>
        <v>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0.42708333333333331</v>
      </c>
      <c r="C18" s="29">
        <v>0.86527777777777781</v>
      </c>
      <c r="D18" s="30">
        <f t="shared" si="1"/>
        <v>0.4381944444444445</v>
      </c>
      <c r="E18" s="16" t="str">
        <f t="shared" si="2"/>
        <v/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0.45555555555555555</v>
      </c>
      <c r="C19" s="29">
        <v>0.875</v>
      </c>
      <c r="D19" s="32">
        <f t="shared" si="1"/>
        <v>0.41944444444444445</v>
      </c>
      <c r="E19" s="19" t="str">
        <f t="shared" si="2"/>
        <v/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0.4465277777777778</v>
      </c>
      <c r="C20" s="29">
        <v>0.875</v>
      </c>
      <c r="D20" s="30">
        <f t="shared" si="1"/>
        <v>0.4284722222222222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0.45208333333333334</v>
      </c>
      <c r="C21" s="29">
        <v>0.875</v>
      </c>
      <c r="D21" s="16">
        <f t="shared" si="1"/>
        <v>0.42291666666666666</v>
      </c>
      <c r="E21" s="16" t="str">
        <f t="shared" si="2"/>
        <v/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0.45</v>
      </c>
      <c r="C22" s="29">
        <v>0.875</v>
      </c>
      <c r="D22" s="19">
        <f t="shared" si="1"/>
        <v>0.42499999999999999</v>
      </c>
      <c r="E22" s="19" t="str">
        <f t="shared" si="2"/>
        <v/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25">
        <v>45918</v>
      </c>
      <c r="B23" s="26"/>
      <c r="C23" s="26"/>
      <c r="D23" s="28" t="str">
        <f t="shared" si="1"/>
        <v/>
      </c>
      <c r="E23" s="28" t="str">
        <f t="shared" si="2"/>
        <v/>
      </c>
      <c r="F23" s="28" t="str">
        <f t="shared" si="3"/>
        <v/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15">
        <v>45919</v>
      </c>
      <c r="B24" s="29">
        <v>0.45</v>
      </c>
      <c r="C24" s="29">
        <v>0.89583333333333337</v>
      </c>
      <c r="D24" s="19">
        <f t="shared" si="1"/>
        <v>0.44583333333333336</v>
      </c>
      <c r="E24" s="16">
        <f t="shared" si="2"/>
        <v>2.083333333333337E-2</v>
      </c>
      <c r="F24" s="19">
        <f t="shared" si="3"/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0.44791666666666669</v>
      </c>
      <c r="C25" s="29">
        <v>0.875</v>
      </c>
      <c r="D25" s="16">
        <f t="shared" si="1"/>
        <v>0.42708333333333331</v>
      </c>
      <c r="E25" s="16" t="str">
        <f t="shared" si="2"/>
        <v/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0.4513888888888889</v>
      </c>
      <c r="C26" s="29">
        <v>0.875</v>
      </c>
      <c r="D26" s="19">
        <f t="shared" si="1"/>
        <v>0.4236111111111111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0.4513888888888889</v>
      </c>
      <c r="C27" s="29">
        <v>0.875</v>
      </c>
      <c r="D27" s="16">
        <f t="shared" si="1"/>
        <v>0.4236111111111111</v>
      </c>
      <c r="E27" s="16" t="str">
        <f t="shared" si="2"/>
        <v/>
      </c>
      <c r="F27" s="16">
        <f t="shared" si="3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0.44444444444444442</v>
      </c>
      <c r="C28" s="29">
        <v>0.875</v>
      </c>
      <c r="D28" s="16">
        <f t="shared" si="1"/>
        <v>0.43055555555555558</v>
      </c>
      <c r="E28" s="16" t="str">
        <f t="shared" si="2"/>
        <v/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0.44791666666666669</v>
      </c>
      <c r="C29" s="29">
        <v>0.875</v>
      </c>
      <c r="D29" s="19">
        <f t="shared" si="1"/>
        <v>0.42708333333333331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25">
        <v>45925</v>
      </c>
      <c r="B30" s="26">
        <v>0.52222222222222225</v>
      </c>
      <c r="C30" s="26">
        <v>0.875</v>
      </c>
      <c r="D30" s="28">
        <f t="shared" si="1"/>
        <v>0.35277777777777775</v>
      </c>
      <c r="E30" s="28" t="str">
        <f t="shared" si="2"/>
        <v/>
      </c>
      <c r="F30" s="28">
        <f t="shared" si="3"/>
        <v>6.3888888888888939E-2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15">
        <v>45926</v>
      </c>
      <c r="B31" s="29">
        <v>0.45277777777777778</v>
      </c>
      <c r="C31" s="29">
        <v>0.89583333333333337</v>
      </c>
      <c r="D31" s="19">
        <f t="shared" si="1"/>
        <v>0.44305555555555559</v>
      </c>
      <c r="E31" s="19">
        <f t="shared" si="2"/>
        <v>2.083333333333337E-2</v>
      </c>
      <c r="F31" s="19">
        <f t="shared" si="3"/>
        <v>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0.44791666666666669</v>
      </c>
      <c r="C32" s="29">
        <v>0.875</v>
      </c>
      <c r="D32" s="19">
        <f t="shared" si="1"/>
        <v>0.42708333333333331</v>
      </c>
      <c r="E32" s="16" t="str">
        <f t="shared" si="2"/>
        <v/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0.45277777777777778</v>
      </c>
      <c r="C33" s="29">
        <v>0.875</v>
      </c>
      <c r="D33" s="19">
        <f t="shared" si="1"/>
        <v>0.42222222222222222</v>
      </c>
      <c r="E33" s="16" t="str">
        <f t="shared" si="2"/>
        <v/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0.44930555555555557</v>
      </c>
      <c r="C34" s="29">
        <v>0.875</v>
      </c>
      <c r="D34" s="16">
        <f t="shared" si="1"/>
        <v>0.42569444444444443</v>
      </c>
      <c r="E34" s="16" t="str">
        <f t="shared" si="2"/>
        <v/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0.45069444444444445</v>
      </c>
      <c r="C35" s="29">
        <v>0.875</v>
      </c>
      <c r="D35" s="19">
        <f t="shared" si="1"/>
        <v>0.42430555555555555</v>
      </c>
      <c r="E35" s="19" t="str">
        <f t="shared" si="2"/>
        <v/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23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0.1819444444444448</v>
      </c>
      <c r="F3" s="8">
        <f t="shared" si="0"/>
        <v>0.19999999999999996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  <c r="H5" s="12">
        <f>E3-F3</f>
        <v>-1.8055555555555158E-2</v>
      </c>
      <c r="I5" s="53" t="s">
        <v>24</v>
      </c>
    </row>
    <row r="6" spans="1:26" ht="14.25" customHeight="1" x14ac:dyDescent="0.3">
      <c r="A6" s="15">
        <v>45901</v>
      </c>
      <c r="B6" s="6">
        <v>0.44513888888888886</v>
      </c>
      <c r="C6" s="6">
        <v>0.85416666666666663</v>
      </c>
      <c r="D6" s="16">
        <f t="shared" ref="D6:D36" si="1">IF(ISBLANK(B6),"", MOD((C6-B6),1))</f>
        <v>0.40902777777777777</v>
      </c>
      <c r="E6" s="16" t="str">
        <f t="shared" ref="E6:E36" si="2">IF(C6&gt;$C$3,C6-$C$3,"")</f>
        <v/>
      </c>
      <c r="F6" s="16">
        <f t="shared" ref="F6:F36" si="3">IF(ISBLANK(B6),"",IF($B$3&gt;B6,0,(B6-$B$3)))</f>
        <v>7.6388888888888618E-3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25">
        <v>45902</v>
      </c>
      <c r="B7" s="52"/>
      <c r="C7" s="52"/>
      <c r="D7" s="28" t="str">
        <f t="shared" si="1"/>
        <v/>
      </c>
      <c r="E7" s="28" t="str">
        <f t="shared" si="2"/>
        <v/>
      </c>
      <c r="F7" s="28" t="str">
        <f t="shared" si="3"/>
        <v/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0.4236111111111111</v>
      </c>
      <c r="C8" s="18">
        <v>0.85486111111111107</v>
      </c>
      <c r="D8" s="19">
        <f t="shared" si="1"/>
        <v>0.43124999999999997</v>
      </c>
      <c r="E8" s="19">
        <f t="shared" si="2"/>
        <v>6.9444444444444198E-4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0.43680555555555556</v>
      </c>
      <c r="C9" s="6">
        <v>0.85416666666666663</v>
      </c>
      <c r="D9" s="16">
        <f t="shared" si="1"/>
        <v>0.41736111111111107</v>
      </c>
      <c r="E9" s="16" t="str">
        <f t="shared" si="2"/>
        <v/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15">
        <v>45905</v>
      </c>
      <c r="B10" s="31">
        <v>0.42777777777777776</v>
      </c>
      <c r="C10" s="31">
        <v>0.875</v>
      </c>
      <c r="D10" s="32">
        <f t="shared" si="1"/>
        <v>0.44722222222222224</v>
      </c>
      <c r="E10" s="16">
        <f t="shared" si="2"/>
        <v>2.083333333333337E-2</v>
      </c>
      <c r="F10" s="19">
        <f t="shared" si="3"/>
        <v>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0.4201388888888889</v>
      </c>
      <c r="C11" s="26">
        <v>0.875</v>
      </c>
      <c r="D11" s="27">
        <f t="shared" si="1"/>
        <v>0.4548611111111111</v>
      </c>
      <c r="E11" s="28">
        <f t="shared" si="2"/>
        <v>2.083333333333337E-2</v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0.43680555555555556</v>
      </c>
      <c r="C12" s="29">
        <v>0.85416666666666663</v>
      </c>
      <c r="D12" s="30">
        <f t="shared" si="1"/>
        <v>0.41736111111111107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0.42916666666666664</v>
      </c>
      <c r="C13" s="29">
        <v>0.85902777777777772</v>
      </c>
      <c r="D13" s="30">
        <f t="shared" si="1"/>
        <v>0.42986111111111108</v>
      </c>
      <c r="E13" s="16">
        <f t="shared" si="2"/>
        <v>4.8611111111110938E-3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25">
        <v>45909</v>
      </c>
      <c r="B14" s="26"/>
      <c r="C14" s="26"/>
      <c r="D14" s="27" t="str">
        <f t="shared" si="1"/>
        <v/>
      </c>
      <c r="E14" s="28" t="str">
        <f t="shared" si="2"/>
        <v/>
      </c>
      <c r="F14" s="28" t="str">
        <f t="shared" si="3"/>
        <v/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0.43888888888888888</v>
      </c>
      <c r="C15" s="29">
        <v>0.85555555555555551</v>
      </c>
      <c r="D15" s="30">
        <f t="shared" si="1"/>
        <v>0.41666666666666663</v>
      </c>
      <c r="E15" s="16">
        <f t="shared" si="2"/>
        <v>1.388888888888884E-3</v>
      </c>
      <c r="F15" s="16">
        <f t="shared" si="3"/>
        <v>1.388888888888884E-3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0.42222222222222222</v>
      </c>
      <c r="C16" s="29">
        <v>0.85416666666666663</v>
      </c>
      <c r="D16" s="30">
        <f t="shared" si="1"/>
        <v>0.43194444444444441</v>
      </c>
      <c r="E16" s="16" t="str">
        <f t="shared" si="2"/>
        <v/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15">
        <v>45912</v>
      </c>
      <c r="B17" s="29">
        <v>0.42708333333333331</v>
      </c>
      <c r="C17" s="29">
        <v>0.875</v>
      </c>
      <c r="D17" s="30">
        <f t="shared" si="1"/>
        <v>0.44791666666666669</v>
      </c>
      <c r="E17" s="16">
        <f t="shared" si="2"/>
        <v>2.083333333333337E-2</v>
      </c>
      <c r="F17" s="16">
        <f t="shared" si="3"/>
        <v>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0.41944444444444445</v>
      </c>
      <c r="C18" s="29">
        <v>0.875</v>
      </c>
      <c r="D18" s="30">
        <f t="shared" si="1"/>
        <v>0.45555555555555555</v>
      </c>
      <c r="E18" s="16">
        <f t="shared" si="2"/>
        <v>2.083333333333337E-2</v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0.44305555555555554</v>
      </c>
      <c r="C19" s="29">
        <v>0.85416666666666663</v>
      </c>
      <c r="D19" s="32">
        <f t="shared" si="1"/>
        <v>0.41111111111111109</v>
      </c>
      <c r="E19" s="19" t="str">
        <f t="shared" si="2"/>
        <v/>
      </c>
      <c r="F19" s="19">
        <f t="shared" si="3"/>
        <v>5.5555555555555358E-3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0.43611111111111112</v>
      </c>
      <c r="C20" s="29">
        <v>0.85416666666666663</v>
      </c>
      <c r="D20" s="30">
        <f t="shared" si="1"/>
        <v>0.41805555555555551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25">
        <v>45916</v>
      </c>
      <c r="B21" s="26"/>
      <c r="C21" s="26"/>
      <c r="D21" s="28" t="str">
        <f t="shared" si="1"/>
        <v/>
      </c>
      <c r="E21" s="28" t="str">
        <f t="shared" si="2"/>
        <v/>
      </c>
      <c r="F21" s="28" t="str">
        <f t="shared" si="3"/>
        <v/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0.42708333333333331</v>
      </c>
      <c r="C22" s="29">
        <v>0.8618055555555556</v>
      </c>
      <c r="D22" s="19">
        <f t="shared" si="1"/>
        <v>0.43472222222222229</v>
      </c>
      <c r="E22" s="19">
        <f t="shared" si="2"/>
        <v>7.6388888888889728E-3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0.43263888888888891</v>
      </c>
      <c r="C23" s="29">
        <v>0.85416666666666663</v>
      </c>
      <c r="D23" s="16">
        <f t="shared" si="1"/>
        <v>0.42152777777777772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15">
        <v>45919</v>
      </c>
      <c r="B24" s="29">
        <v>0.61805555555555558</v>
      </c>
      <c r="C24" s="29">
        <v>0.875</v>
      </c>
      <c r="D24" s="19">
        <f t="shared" si="1"/>
        <v>0.25694444444444442</v>
      </c>
      <c r="E24" s="16">
        <f t="shared" si="2"/>
        <v>2.083333333333337E-2</v>
      </c>
      <c r="F24" s="19">
        <f t="shared" si="3"/>
        <v>0.18055555555555558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0.42708333333333331</v>
      </c>
      <c r="C25" s="29">
        <v>0.875</v>
      </c>
      <c r="D25" s="16">
        <f t="shared" si="1"/>
        <v>0.44791666666666669</v>
      </c>
      <c r="E25" s="16">
        <f t="shared" si="2"/>
        <v>2.083333333333337E-2</v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0.43055555555555558</v>
      </c>
      <c r="C26" s="29">
        <v>0.85416666666666663</v>
      </c>
      <c r="D26" s="19">
        <f t="shared" si="1"/>
        <v>0.42361111111111105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0.44236111111111109</v>
      </c>
      <c r="C27" s="29">
        <v>0.85416666666666663</v>
      </c>
      <c r="D27" s="16">
        <f t="shared" si="1"/>
        <v>0.41180555555555554</v>
      </c>
      <c r="E27" s="16" t="str">
        <f t="shared" si="2"/>
        <v/>
      </c>
      <c r="F27" s="16">
        <f t="shared" si="3"/>
        <v>4.8611111111110938E-3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25">
        <v>45923</v>
      </c>
      <c r="B28" s="26"/>
      <c r="C28" s="26"/>
      <c r="D28" s="28" t="str">
        <f t="shared" si="1"/>
        <v/>
      </c>
      <c r="E28" s="28" t="str">
        <f t="shared" si="2"/>
        <v/>
      </c>
      <c r="F28" s="28" t="str">
        <f t="shared" si="3"/>
        <v/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0.43472222222222223</v>
      </c>
      <c r="C29" s="29">
        <v>0.85416666666666663</v>
      </c>
      <c r="D29" s="19">
        <f t="shared" si="1"/>
        <v>0.4194444444444444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0.42638888888888887</v>
      </c>
      <c r="C30" s="29">
        <v>0.85486111111111107</v>
      </c>
      <c r="D30" s="16">
        <f t="shared" si="1"/>
        <v>0.4284722222222222</v>
      </c>
      <c r="E30" s="16">
        <f t="shared" si="2"/>
        <v>6.9444444444444198E-4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15">
        <v>45926</v>
      </c>
      <c r="B31" s="29">
        <v>0.42916666666666664</v>
      </c>
      <c r="C31" s="29">
        <v>0.875</v>
      </c>
      <c r="D31" s="19">
        <f t="shared" si="1"/>
        <v>0.44583333333333336</v>
      </c>
      <c r="E31" s="19">
        <f t="shared" si="2"/>
        <v>2.083333333333337E-2</v>
      </c>
      <c r="F31" s="19">
        <f t="shared" si="3"/>
        <v>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0.4284722222222222</v>
      </c>
      <c r="C32" s="29">
        <v>0.875</v>
      </c>
      <c r="D32" s="19">
        <f t="shared" si="1"/>
        <v>0.4465277777777778</v>
      </c>
      <c r="E32" s="16">
        <f t="shared" si="2"/>
        <v>2.083333333333337E-2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0.43055555555555558</v>
      </c>
      <c r="C33" s="29">
        <v>0.85416666666666663</v>
      </c>
      <c r="D33" s="19">
        <f t="shared" si="1"/>
        <v>0.42361111111111105</v>
      </c>
      <c r="E33" s="16" t="str">
        <f t="shared" si="2"/>
        <v/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0.4284722222222222</v>
      </c>
      <c r="C34" s="29">
        <v>0.85416666666666663</v>
      </c>
      <c r="D34" s="16">
        <f t="shared" si="1"/>
        <v>0.42569444444444443</v>
      </c>
      <c r="E34" s="16" t="str">
        <f t="shared" si="2"/>
        <v/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25">
        <v>45930</v>
      </c>
      <c r="B35" s="26"/>
      <c r="C35" s="26"/>
      <c r="D35" s="33" t="str">
        <f t="shared" si="1"/>
        <v/>
      </c>
      <c r="E35" s="33" t="str">
        <f t="shared" si="2"/>
        <v/>
      </c>
      <c r="F35" s="33" t="str">
        <f t="shared" si="3"/>
        <v/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25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0.18263888888888924</v>
      </c>
      <c r="F3" s="8">
        <f t="shared" si="0"/>
        <v>0</v>
      </c>
      <c r="H3" s="12">
        <f>E3-G27</f>
        <v>0.14305555555555591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0.4201388888888889</v>
      </c>
      <c r="C6" s="6">
        <v>0.85416666666666663</v>
      </c>
      <c r="D6" s="16">
        <f t="shared" ref="D6:D36" si="1">IF(ISBLANK(B6),"", MOD((C6-B6),1))</f>
        <v>0.43402777777777773</v>
      </c>
      <c r="E6" s="16" t="str">
        <f t="shared" ref="E6:E36" si="2">IF(C6&gt;$C$3,C6-$C$3,"")</f>
        <v/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25">
        <v>45902</v>
      </c>
      <c r="B7" s="52"/>
      <c r="C7" s="52"/>
      <c r="D7" s="28" t="str">
        <f t="shared" si="1"/>
        <v/>
      </c>
      <c r="E7" s="28" t="str">
        <f t="shared" si="2"/>
        <v/>
      </c>
      <c r="F7" s="28" t="str">
        <f t="shared" si="3"/>
        <v/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0.42430555555555555</v>
      </c>
      <c r="C8" s="18">
        <v>0.85486111111111107</v>
      </c>
      <c r="D8" s="19">
        <f t="shared" si="1"/>
        <v>0.43055555555555552</v>
      </c>
      <c r="E8" s="19">
        <f t="shared" si="2"/>
        <v>6.9444444444444198E-4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0.42499999999999999</v>
      </c>
      <c r="C9" s="6">
        <v>0.85416666666666663</v>
      </c>
      <c r="D9" s="16">
        <f t="shared" si="1"/>
        <v>0.42916666666666664</v>
      </c>
      <c r="E9" s="16" t="str">
        <f t="shared" si="2"/>
        <v/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15">
        <v>45905</v>
      </c>
      <c r="B10" s="31">
        <v>0.42430555555555555</v>
      </c>
      <c r="C10" s="31">
        <v>0.875</v>
      </c>
      <c r="D10" s="32">
        <f t="shared" si="1"/>
        <v>0.45069444444444445</v>
      </c>
      <c r="E10" s="16">
        <f t="shared" si="2"/>
        <v>2.083333333333337E-2</v>
      </c>
      <c r="F10" s="19">
        <f t="shared" si="3"/>
        <v>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0.4201388888888889</v>
      </c>
      <c r="C11" s="26">
        <v>0.875</v>
      </c>
      <c r="D11" s="27">
        <f t="shared" si="1"/>
        <v>0.4548611111111111</v>
      </c>
      <c r="E11" s="28">
        <f t="shared" si="2"/>
        <v>2.083333333333337E-2</v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0.42291666666666666</v>
      </c>
      <c r="C12" s="29">
        <v>0.85416666666666663</v>
      </c>
      <c r="D12" s="30">
        <f t="shared" si="1"/>
        <v>0.43124999999999997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0.41736111111111113</v>
      </c>
      <c r="C13" s="29">
        <v>0.85902777777777772</v>
      </c>
      <c r="D13" s="30">
        <f t="shared" si="1"/>
        <v>0.4416666666666666</v>
      </c>
      <c r="E13" s="16">
        <f t="shared" si="2"/>
        <v>4.8611111111110938E-3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54">
        <v>45909</v>
      </c>
      <c r="B14" s="55"/>
      <c r="C14" s="55"/>
      <c r="D14" s="56" t="str">
        <f t="shared" si="1"/>
        <v/>
      </c>
      <c r="E14" s="57" t="str">
        <f t="shared" si="2"/>
        <v/>
      </c>
      <c r="F14" s="57" t="str">
        <f t="shared" si="3"/>
        <v/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0.42152777777777778</v>
      </c>
      <c r="C15" s="29">
        <v>0.85624999999999996</v>
      </c>
      <c r="D15" s="30">
        <f t="shared" si="1"/>
        <v>0.43472222222222218</v>
      </c>
      <c r="E15" s="16">
        <f t="shared" si="2"/>
        <v>2.0833333333333259E-3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0.42083333333333334</v>
      </c>
      <c r="C16" s="29">
        <v>0.85416666666666663</v>
      </c>
      <c r="D16" s="30">
        <f t="shared" si="1"/>
        <v>0.43333333333333329</v>
      </c>
      <c r="E16" s="16" t="str">
        <f t="shared" si="2"/>
        <v/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15">
        <v>45912</v>
      </c>
      <c r="B17" s="29">
        <v>0.41944444444444445</v>
      </c>
      <c r="C17" s="29">
        <v>0.875</v>
      </c>
      <c r="D17" s="30">
        <f t="shared" si="1"/>
        <v>0.45555555555555555</v>
      </c>
      <c r="E17" s="16">
        <f t="shared" si="2"/>
        <v>2.083333333333337E-2</v>
      </c>
      <c r="F17" s="16">
        <f t="shared" si="3"/>
        <v>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0.42083333333333334</v>
      </c>
      <c r="C18" s="29">
        <v>0.875</v>
      </c>
      <c r="D18" s="30">
        <f t="shared" si="1"/>
        <v>0.45416666666666666</v>
      </c>
      <c r="E18" s="16">
        <f t="shared" si="2"/>
        <v>2.083333333333337E-2</v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0.42152777777777778</v>
      </c>
      <c r="C19" s="29">
        <v>0.85416666666666663</v>
      </c>
      <c r="D19" s="32">
        <f t="shared" si="1"/>
        <v>0.43263888888888885</v>
      </c>
      <c r="E19" s="19" t="str">
        <f t="shared" si="2"/>
        <v/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0.4284722222222222</v>
      </c>
      <c r="C20" s="29">
        <v>0.85416666666666663</v>
      </c>
      <c r="D20" s="30">
        <f t="shared" si="1"/>
        <v>0.42569444444444443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25">
        <v>45916</v>
      </c>
      <c r="B21" s="26"/>
      <c r="C21" s="26"/>
      <c r="D21" s="28" t="str">
        <f t="shared" si="1"/>
        <v/>
      </c>
      <c r="E21" s="28" t="str">
        <f t="shared" si="2"/>
        <v/>
      </c>
      <c r="F21" s="28" t="str">
        <f t="shared" si="3"/>
        <v/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0.42152777777777778</v>
      </c>
      <c r="C22" s="29">
        <v>0.8618055555555556</v>
      </c>
      <c r="D22" s="19">
        <f t="shared" si="1"/>
        <v>0.44027777777777782</v>
      </c>
      <c r="E22" s="19">
        <f t="shared" si="2"/>
        <v>7.6388888888889728E-3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0.42222222222222222</v>
      </c>
      <c r="C23" s="29">
        <v>0.85416666666666663</v>
      </c>
      <c r="D23" s="16">
        <f t="shared" si="1"/>
        <v>0.43194444444444441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15">
        <v>45919</v>
      </c>
      <c r="B24" s="29">
        <v>0.42152777777777778</v>
      </c>
      <c r="C24" s="29">
        <v>0.875</v>
      </c>
      <c r="D24" s="19">
        <f t="shared" si="1"/>
        <v>0.45347222222222222</v>
      </c>
      <c r="E24" s="16">
        <f t="shared" si="2"/>
        <v>2.083333333333337E-2</v>
      </c>
      <c r="F24" s="19">
        <f t="shared" si="3"/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0.41944444444444445</v>
      </c>
      <c r="C25" s="29">
        <v>0.875</v>
      </c>
      <c r="D25" s="16">
        <f t="shared" si="1"/>
        <v>0.45555555555555555</v>
      </c>
      <c r="E25" s="16">
        <f t="shared" si="2"/>
        <v>2.083333333333337E-2</v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0.41875000000000001</v>
      </c>
      <c r="C26" s="29">
        <v>0.85416666666666663</v>
      </c>
      <c r="D26" s="19">
        <f t="shared" si="1"/>
        <v>0.43541666666666662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0.42430555555555555</v>
      </c>
      <c r="C27" s="29">
        <v>0.81458333333333333</v>
      </c>
      <c r="D27" s="16">
        <f t="shared" si="1"/>
        <v>0.39027777777777778</v>
      </c>
      <c r="E27" s="16" t="str">
        <f t="shared" si="2"/>
        <v/>
      </c>
      <c r="F27" s="16">
        <f t="shared" si="3"/>
        <v>0</v>
      </c>
      <c r="G27" s="34">
        <v>3.9583333333333331E-2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25">
        <v>45923</v>
      </c>
      <c r="B28" s="26"/>
      <c r="C28" s="26"/>
      <c r="D28" s="28" t="str">
        <f t="shared" si="1"/>
        <v/>
      </c>
      <c r="E28" s="28" t="str">
        <f t="shared" si="2"/>
        <v/>
      </c>
      <c r="F28" s="28" t="str">
        <f t="shared" si="3"/>
        <v/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0.42291666666666666</v>
      </c>
      <c r="C29" s="29">
        <v>0.85416666666666663</v>
      </c>
      <c r="D29" s="19">
        <f t="shared" si="1"/>
        <v>0.43124999999999997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0.4201388888888889</v>
      </c>
      <c r="C30" s="29">
        <v>0.85486111111111107</v>
      </c>
      <c r="D30" s="16">
        <f t="shared" si="1"/>
        <v>0.43472222222222218</v>
      </c>
      <c r="E30" s="16">
        <f t="shared" si="2"/>
        <v>6.9444444444444198E-4</v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15">
        <v>45926</v>
      </c>
      <c r="B31" s="29">
        <v>0.42152777777777778</v>
      </c>
      <c r="C31" s="29">
        <v>0.875</v>
      </c>
      <c r="D31" s="19">
        <f t="shared" si="1"/>
        <v>0.45347222222222222</v>
      </c>
      <c r="E31" s="19">
        <f t="shared" si="2"/>
        <v>2.083333333333337E-2</v>
      </c>
      <c r="F31" s="19">
        <f t="shared" si="3"/>
        <v>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0.42222222222222222</v>
      </c>
      <c r="C32" s="29">
        <v>0.875</v>
      </c>
      <c r="D32" s="19">
        <f t="shared" si="1"/>
        <v>0.45277777777777778</v>
      </c>
      <c r="E32" s="16">
        <f t="shared" si="2"/>
        <v>2.083333333333337E-2</v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0.42291666666666666</v>
      </c>
      <c r="C33" s="29">
        <v>0.85416666666666663</v>
      </c>
      <c r="D33" s="19">
        <f t="shared" si="1"/>
        <v>0.43124999999999997</v>
      </c>
      <c r="E33" s="16" t="str">
        <f t="shared" si="2"/>
        <v/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0.42222222222222222</v>
      </c>
      <c r="C34" s="29">
        <v>0.85416666666666663</v>
      </c>
      <c r="D34" s="16">
        <f t="shared" si="1"/>
        <v>0.43194444444444441</v>
      </c>
      <c r="E34" s="16" t="str">
        <f t="shared" si="2"/>
        <v/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25">
        <v>45930</v>
      </c>
      <c r="B35" s="26"/>
      <c r="C35" s="26"/>
      <c r="D35" s="33" t="str">
        <f t="shared" si="1"/>
        <v/>
      </c>
      <c r="E35" s="33" t="str">
        <f t="shared" si="2"/>
        <v/>
      </c>
      <c r="F35" s="33" t="str">
        <f t="shared" si="3"/>
        <v/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26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0.4375</v>
      </c>
      <c r="C3" s="6">
        <v>0.85416666666666663</v>
      </c>
      <c r="D3" s="7"/>
      <c r="E3" s="8">
        <f t="shared" ref="E3:F3" si="0">SUM(E6:E36)</f>
        <v>0.15694444444444478</v>
      </c>
      <c r="F3" s="8">
        <f t="shared" si="0"/>
        <v>4.8611111111110938E-3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  <c r="H4" s="12">
        <f>E3-F3</f>
        <v>0.15208333333333368</v>
      </c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0.43194444444444446</v>
      </c>
      <c r="C6" s="6">
        <v>0.85486111111111107</v>
      </c>
      <c r="D6" s="16">
        <f t="shared" ref="D6:D36" si="1">IF(ISBLANK(B6),"", MOD((C6-B6),1))</f>
        <v>0.42291666666666661</v>
      </c>
      <c r="E6" s="16">
        <f t="shared" ref="E6:E36" si="2">IF(C6&gt;$C$3,C6-$C$3,"")</f>
        <v>6.9444444444444198E-4</v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0.42916666666666664</v>
      </c>
      <c r="C7" s="6">
        <v>0.85416666666666663</v>
      </c>
      <c r="D7" s="16">
        <f t="shared" si="1"/>
        <v>0.42499999999999999</v>
      </c>
      <c r="E7" s="16" t="str">
        <f t="shared" si="2"/>
        <v/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0.42708333333333331</v>
      </c>
      <c r="C8" s="18">
        <v>0.86944444444444446</v>
      </c>
      <c r="D8" s="19">
        <f t="shared" si="1"/>
        <v>0.44236111111111115</v>
      </c>
      <c r="E8" s="19">
        <f t="shared" si="2"/>
        <v>1.5277777777777835E-2</v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0.43055555555555558</v>
      </c>
      <c r="C9" s="6">
        <v>0.86805555555555558</v>
      </c>
      <c r="D9" s="16">
        <f t="shared" si="1"/>
        <v>0.4375</v>
      </c>
      <c r="E9" s="16">
        <f t="shared" si="2"/>
        <v>1.3888888888888951E-2</v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47">
        <v>45906</v>
      </c>
      <c r="B11" s="48"/>
      <c r="C11" s="48"/>
      <c r="D11" s="49" t="str">
        <f t="shared" si="1"/>
        <v/>
      </c>
      <c r="E11" s="50" t="str">
        <f t="shared" si="2"/>
        <v/>
      </c>
      <c r="F11" s="50" t="str">
        <f t="shared" si="3"/>
        <v/>
      </c>
      <c r="G11" s="17" t="s">
        <v>19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0.4284722222222222</v>
      </c>
      <c r="C12" s="29">
        <v>0.85416666666666663</v>
      </c>
      <c r="D12" s="30">
        <f t="shared" si="1"/>
        <v>0.42569444444444443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0.43194444444444446</v>
      </c>
      <c r="C13" s="29">
        <v>0.87569444444444444</v>
      </c>
      <c r="D13" s="30">
        <f t="shared" si="1"/>
        <v>0.44374999999999998</v>
      </c>
      <c r="E13" s="16">
        <f t="shared" si="2"/>
        <v>2.1527777777777812E-2</v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0.4284722222222222</v>
      </c>
      <c r="C14" s="29">
        <v>0.85416666666666663</v>
      </c>
      <c r="D14" s="30">
        <f t="shared" si="1"/>
        <v>0.42569444444444443</v>
      </c>
      <c r="E14" s="16" t="str">
        <f t="shared" si="2"/>
        <v/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0.43055555555555558</v>
      </c>
      <c r="C15" s="29">
        <v>0.85486111111111107</v>
      </c>
      <c r="D15" s="30">
        <f t="shared" si="1"/>
        <v>0.42430555555555549</v>
      </c>
      <c r="E15" s="16">
        <f t="shared" si="2"/>
        <v>6.9444444444444198E-4</v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0.43680555555555556</v>
      </c>
      <c r="C16" s="29">
        <v>0.85555555555555551</v>
      </c>
      <c r="D16" s="30">
        <f t="shared" si="1"/>
        <v>0.41874999999999996</v>
      </c>
      <c r="E16" s="16">
        <f t="shared" si="2"/>
        <v>1.388888888888884E-3</v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0">
        <v>45912</v>
      </c>
      <c r="B17" s="38"/>
      <c r="C17" s="38"/>
      <c r="D17" s="39" t="str">
        <f t="shared" si="1"/>
        <v/>
      </c>
      <c r="E17" s="23" t="str">
        <f t="shared" si="2"/>
        <v/>
      </c>
      <c r="F17" s="23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0.43055555555555558</v>
      </c>
      <c r="C18" s="29">
        <v>0.85416666666666663</v>
      </c>
      <c r="D18" s="30">
        <f t="shared" si="1"/>
        <v>0.42361111111111105</v>
      </c>
      <c r="E18" s="16" t="str">
        <f t="shared" si="2"/>
        <v/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0.42916666666666664</v>
      </c>
      <c r="C19" s="29">
        <v>0.85416666666666663</v>
      </c>
      <c r="D19" s="32">
        <f t="shared" si="1"/>
        <v>0.42499999999999999</v>
      </c>
      <c r="E19" s="19" t="str">
        <f t="shared" si="2"/>
        <v/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0.43055555555555558</v>
      </c>
      <c r="C20" s="29">
        <v>0.85416666666666663</v>
      </c>
      <c r="D20" s="30">
        <f t="shared" si="1"/>
        <v>0.42361111111111105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0.43055555555555558</v>
      </c>
      <c r="C21" s="29">
        <v>0.86250000000000004</v>
      </c>
      <c r="D21" s="16">
        <f t="shared" si="1"/>
        <v>0.43194444444444446</v>
      </c>
      <c r="E21" s="16">
        <f t="shared" si="2"/>
        <v>8.3333333333334147E-3</v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0.43194444444444446</v>
      </c>
      <c r="C22" s="29">
        <v>0.85763888888888884</v>
      </c>
      <c r="D22" s="19">
        <f t="shared" si="1"/>
        <v>0.42569444444444438</v>
      </c>
      <c r="E22" s="19">
        <f t="shared" si="2"/>
        <v>3.4722222222222099E-3</v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0.43055555555555558</v>
      </c>
      <c r="C23" s="29">
        <v>0.85416666666666663</v>
      </c>
      <c r="D23" s="16">
        <f t="shared" si="1"/>
        <v>0.42361111111111105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0.43055555555555558</v>
      </c>
      <c r="C25" s="29">
        <v>0.85416666666666663</v>
      </c>
      <c r="D25" s="16">
        <f t="shared" si="1"/>
        <v>0.42361111111111105</v>
      </c>
      <c r="E25" s="16" t="str">
        <f t="shared" si="2"/>
        <v/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0.43055555555555558</v>
      </c>
      <c r="C26" s="29">
        <v>0.85416666666666663</v>
      </c>
      <c r="D26" s="19">
        <f t="shared" si="1"/>
        <v>0.42361111111111105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0.44236111111111109</v>
      </c>
      <c r="C27" s="29">
        <v>0.875</v>
      </c>
      <c r="D27" s="16">
        <f t="shared" si="1"/>
        <v>0.43263888888888891</v>
      </c>
      <c r="E27" s="16">
        <f t="shared" si="2"/>
        <v>2.083333333333337E-2</v>
      </c>
      <c r="F27" s="16">
        <f t="shared" si="3"/>
        <v>4.8611111111110938E-3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0.42083333333333334</v>
      </c>
      <c r="C28" s="29">
        <v>0.85416666666666663</v>
      </c>
      <c r="D28" s="16">
        <f t="shared" si="1"/>
        <v>0.43333333333333329</v>
      </c>
      <c r="E28" s="16" t="str">
        <f t="shared" si="2"/>
        <v/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0.42916666666666664</v>
      </c>
      <c r="C29" s="29">
        <v>0.85763888888888884</v>
      </c>
      <c r="D29" s="19">
        <f t="shared" si="1"/>
        <v>0.4284722222222222</v>
      </c>
      <c r="E29" s="19">
        <f t="shared" si="2"/>
        <v>3.4722222222222099E-3</v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0.42916666666666664</v>
      </c>
      <c r="C30" s="29">
        <v>0.85416666666666663</v>
      </c>
      <c r="D30" s="16">
        <f t="shared" si="1"/>
        <v>0.42499999999999999</v>
      </c>
      <c r="E30" s="16" t="str">
        <f t="shared" si="2"/>
        <v/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0.43055555555555558</v>
      </c>
      <c r="C32" s="29">
        <v>0.85416666666666663</v>
      </c>
      <c r="D32" s="19">
        <f t="shared" si="1"/>
        <v>0.42361111111111105</v>
      </c>
      <c r="E32" s="16" t="str">
        <f t="shared" si="2"/>
        <v/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0.43055555555555558</v>
      </c>
      <c r="C33" s="29">
        <v>0.87638888888888888</v>
      </c>
      <c r="D33" s="19">
        <f t="shared" si="1"/>
        <v>0.4458333333333333</v>
      </c>
      <c r="E33" s="16">
        <f t="shared" si="2"/>
        <v>2.2222222222222254E-2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0.42083333333333334</v>
      </c>
      <c r="C34" s="29">
        <v>0.89583333333333337</v>
      </c>
      <c r="D34" s="16">
        <f t="shared" si="1"/>
        <v>0.47500000000000003</v>
      </c>
      <c r="E34" s="16">
        <f t="shared" si="2"/>
        <v>4.1666666666666741E-2</v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0.42986111111111114</v>
      </c>
      <c r="C35" s="29">
        <v>0.85763888888888884</v>
      </c>
      <c r="D35" s="19">
        <f t="shared" si="1"/>
        <v>0.4277777777777777</v>
      </c>
      <c r="E35" s="19">
        <f t="shared" si="2"/>
        <v>3.4722222222222099E-3</v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27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0.52083333333333337</v>
      </c>
      <c r="C3" s="6">
        <v>0.85416666666666663</v>
      </c>
      <c r="D3" s="7"/>
      <c r="E3" s="8">
        <f t="shared" ref="E3:F3" si="0">SUM(E6:E36)</f>
        <v>4.8611111111111271E-2</v>
      </c>
      <c r="F3" s="8">
        <f t="shared" si="0"/>
        <v>1.8749999999999933E-2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40">
        <v>45901</v>
      </c>
      <c r="B6" s="58"/>
      <c r="C6" s="58"/>
      <c r="D6" s="44" t="str">
        <f t="shared" ref="D6:D36" si="1">IF(ISBLANK(B6),"", MOD((C6-B6),1))</f>
        <v/>
      </c>
      <c r="E6" s="44" t="str">
        <f t="shared" ref="E6:E36" si="2">IF(C6&gt;$C$3,C6-$C$3,"")</f>
        <v/>
      </c>
      <c r="F6" s="44" t="str">
        <f t="shared" ref="F6:F36" si="3">IF(ISBLANK(B6),"",IF($B$3&gt;B6,0,(B6-$B$3)))</f>
        <v/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40">
        <v>45902</v>
      </c>
      <c r="B7" s="58"/>
      <c r="C7" s="58"/>
      <c r="D7" s="44" t="str">
        <f t="shared" si="1"/>
        <v/>
      </c>
      <c r="E7" s="44" t="str">
        <f t="shared" si="2"/>
        <v/>
      </c>
      <c r="F7" s="44" t="str">
        <f t="shared" si="3"/>
        <v/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0.52083333333333337</v>
      </c>
      <c r="C8" s="18">
        <v>0.85416666666666663</v>
      </c>
      <c r="D8" s="19">
        <f t="shared" si="1"/>
        <v>0.33333333333333326</v>
      </c>
      <c r="E8" s="19" t="str">
        <f t="shared" si="2"/>
        <v/>
      </c>
      <c r="F8" s="19">
        <f t="shared" si="3"/>
        <v>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0.52361111111111114</v>
      </c>
      <c r="C9" s="6">
        <v>0.85416666666666663</v>
      </c>
      <c r="D9" s="16">
        <f t="shared" si="1"/>
        <v>0.33055555555555549</v>
      </c>
      <c r="E9" s="16" t="str">
        <f t="shared" si="2"/>
        <v/>
      </c>
      <c r="F9" s="16">
        <f t="shared" si="3"/>
        <v>2.7777777777777679E-3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0.51944444444444449</v>
      </c>
      <c r="C11" s="26">
        <v>0.85416666666666663</v>
      </c>
      <c r="D11" s="27">
        <f t="shared" si="1"/>
        <v>0.33472222222222214</v>
      </c>
      <c r="E11" s="28" t="str">
        <f t="shared" si="2"/>
        <v/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0.52013888888888893</v>
      </c>
      <c r="C12" s="29">
        <v>0.85416666666666663</v>
      </c>
      <c r="D12" s="30">
        <f t="shared" si="1"/>
        <v>0.3340277777777777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0.52083333333333337</v>
      </c>
      <c r="C13" s="29">
        <v>0.85416666666666663</v>
      </c>
      <c r="D13" s="30">
        <f t="shared" si="1"/>
        <v>0.33333333333333326</v>
      </c>
      <c r="E13" s="16" t="str">
        <f t="shared" si="2"/>
        <v/>
      </c>
      <c r="F13" s="16">
        <f t="shared" si="3"/>
        <v>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0.52361111111111114</v>
      </c>
      <c r="C14" s="29">
        <v>0.85416666666666663</v>
      </c>
      <c r="D14" s="30">
        <f t="shared" si="1"/>
        <v>0.33055555555555549</v>
      </c>
      <c r="E14" s="16" t="str">
        <f t="shared" si="2"/>
        <v/>
      </c>
      <c r="F14" s="16">
        <f t="shared" si="3"/>
        <v>2.7777777777777679E-3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0.52083333333333337</v>
      </c>
      <c r="C15" s="29">
        <v>0.85416666666666663</v>
      </c>
      <c r="D15" s="30">
        <f t="shared" si="1"/>
        <v>0.33333333333333326</v>
      </c>
      <c r="E15" s="16" t="str">
        <f t="shared" si="2"/>
        <v/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0.52083333333333337</v>
      </c>
      <c r="C16" s="29">
        <v>0.85416666666666663</v>
      </c>
      <c r="D16" s="30">
        <f t="shared" si="1"/>
        <v>0.33333333333333326</v>
      </c>
      <c r="E16" s="16" t="str">
        <f t="shared" si="2"/>
        <v/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0.52152777777777781</v>
      </c>
      <c r="C18" s="29">
        <v>0.85416666666666663</v>
      </c>
      <c r="D18" s="30">
        <f t="shared" si="1"/>
        <v>0.33263888888888882</v>
      </c>
      <c r="E18" s="16" t="str">
        <f t="shared" si="2"/>
        <v/>
      </c>
      <c r="F18" s="16">
        <f t="shared" si="3"/>
        <v>6.9444444444444198E-4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0.51944444444444449</v>
      </c>
      <c r="C19" s="29">
        <v>0.85416666666666663</v>
      </c>
      <c r="D19" s="32">
        <f t="shared" si="1"/>
        <v>0.33472222222222214</v>
      </c>
      <c r="E19" s="19" t="str">
        <f t="shared" si="2"/>
        <v/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0.51944444444444449</v>
      </c>
      <c r="C20" s="29">
        <v>0.85416666666666663</v>
      </c>
      <c r="D20" s="30">
        <f t="shared" si="1"/>
        <v>0.33472222222222214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0.52013888888888893</v>
      </c>
      <c r="C21" s="29">
        <v>0.85416666666666663</v>
      </c>
      <c r="D21" s="16">
        <f t="shared" si="1"/>
        <v>0.3340277777777777</v>
      </c>
      <c r="E21" s="16" t="str">
        <f t="shared" si="2"/>
        <v/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0.51944444444444449</v>
      </c>
      <c r="C22" s="29">
        <v>0.85416666666666663</v>
      </c>
      <c r="D22" s="19">
        <f t="shared" si="1"/>
        <v>0.33472222222222214</v>
      </c>
      <c r="E22" s="19" t="str">
        <f t="shared" si="2"/>
        <v/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0.52013888888888893</v>
      </c>
      <c r="C23" s="29">
        <v>0.85416666666666663</v>
      </c>
      <c r="D23" s="16">
        <f t="shared" si="1"/>
        <v>0.3340277777777777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0.51944444444444449</v>
      </c>
      <c r="C25" s="29">
        <v>0.85416666666666663</v>
      </c>
      <c r="D25" s="16">
        <f t="shared" si="1"/>
        <v>0.33472222222222214</v>
      </c>
      <c r="E25" s="16" t="str">
        <f t="shared" si="2"/>
        <v/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0.52083333333333337</v>
      </c>
      <c r="C26" s="29">
        <v>0.85416666666666663</v>
      </c>
      <c r="D26" s="19">
        <f t="shared" si="1"/>
        <v>0.33333333333333326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0.53125</v>
      </c>
      <c r="C27" s="29">
        <v>0.85416666666666663</v>
      </c>
      <c r="D27" s="16">
        <f t="shared" si="1"/>
        <v>0.32291666666666663</v>
      </c>
      <c r="E27" s="16" t="str">
        <f t="shared" si="2"/>
        <v/>
      </c>
      <c r="F27" s="16">
        <f t="shared" si="3"/>
        <v>1.041666666666663E-2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0.52083333333333337</v>
      </c>
      <c r="C28" s="29">
        <v>0.85416666666666663</v>
      </c>
      <c r="D28" s="16">
        <f t="shared" si="1"/>
        <v>0.33333333333333326</v>
      </c>
      <c r="E28" s="16" t="str">
        <f t="shared" si="2"/>
        <v/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0.52013888888888893</v>
      </c>
      <c r="C29" s="29">
        <v>0.85416666666666663</v>
      </c>
      <c r="D29" s="19">
        <f t="shared" si="1"/>
        <v>0.3340277777777777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0.52083333333333337</v>
      </c>
      <c r="C30" s="29">
        <v>0.85416666666666663</v>
      </c>
      <c r="D30" s="16">
        <f t="shared" si="1"/>
        <v>0.33333333333333326</v>
      </c>
      <c r="E30" s="16" t="str">
        <f t="shared" si="2"/>
        <v/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0.52013888888888893</v>
      </c>
      <c r="C32" s="29">
        <v>0.85416666666666663</v>
      </c>
      <c r="D32" s="19">
        <f t="shared" si="1"/>
        <v>0.3340277777777777</v>
      </c>
      <c r="E32" s="16" t="str">
        <f t="shared" si="2"/>
        <v/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0.52083333333333337</v>
      </c>
      <c r="C33" s="29">
        <v>0.86111111111111116</v>
      </c>
      <c r="D33" s="19">
        <f t="shared" si="1"/>
        <v>0.34027777777777779</v>
      </c>
      <c r="E33" s="16">
        <f t="shared" si="2"/>
        <v>6.9444444444445308E-3</v>
      </c>
      <c r="F33" s="19">
        <f t="shared" si="3"/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0.52152777777777781</v>
      </c>
      <c r="C34" s="29">
        <v>0.89583333333333337</v>
      </c>
      <c r="D34" s="16">
        <f t="shared" si="1"/>
        <v>0.37430555555555556</v>
      </c>
      <c r="E34" s="16">
        <f t="shared" si="2"/>
        <v>4.1666666666666741E-2</v>
      </c>
      <c r="F34" s="16">
        <f t="shared" si="3"/>
        <v>6.9444444444444198E-4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0.52222222222222225</v>
      </c>
      <c r="C35" s="29">
        <v>0.85416666666666663</v>
      </c>
      <c r="D35" s="19">
        <f t="shared" si="1"/>
        <v>0.33194444444444438</v>
      </c>
      <c r="E35" s="19" t="str">
        <f t="shared" si="2"/>
        <v/>
      </c>
      <c r="F35" s="19">
        <f t="shared" si="3"/>
        <v>1.388888888888884E-3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28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0.45833333333333331</v>
      </c>
      <c r="C3" s="6">
        <v>0.85416666666666663</v>
      </c>
      <c r="D3" s="7"/>
      <c r="E3" s="8">
        <f t="shared" ref="E3:F3" si="0">SUM(E6:E36)</f>
        <v>0</v>
      </c>
      <c r="F3" s="8">
        <f t="shared" si="0"/>
        <v>7.9166666666666774E-2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0.45624999999999999</v>
      </c>
      <c r="C6" s="6"/>
      <c r="D6" s="16">
        <f t="shared" ref="D6:D36" si="1">IF(ISBLANK(B6),"", MOD((C6-B6),1))</f>
        <v>0.54374999999999996</v>
      </c>
      <c r="E6" s="16" t="str">
        <f t="shared" ref="E6:E36" si="2">IF(C6&gt;$C$3,C6-$C$3,"")</f>
        <v/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0.45347222222222222</v>
      </c>
      <c r="C7" s="6"/>
      <c r="D7" s="16">
        <f t="shared" si="1"/>
        <v>0.54652777777777772</v>
      </c>
      <c r="E7" s="16" t="str">
        <f t="shared" si="2"/>
        <v/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18">
        <v>0.46875</v>
      </c>
      <c r="C8" s="18"/>
      <c r="D8" s="19">
        <f t="shared" si="1"/>
        <v>0.53125</v>
      </c>
      <c r="E8" s="19" t="str">
        <f t="shared" si="2"/>
        <v/>
      </c>
      <c r="F8" s="19">
        <f t="shared" si="3"/>
        <v>1.0416666666666685E-2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0.46875</v>
      </c>
      <c r="C9" s="6"/>
      <c r="D9" s="16">
        <f t="shared" si="1"/>
        <v>0.53125</v>
      </c>
      <c r="E9" s="16" t="str">
        <f t="shared" si="2"/>
        <v/>
      </c>
      <c r="F9" s="16">
        <f t="shared" si="3"/>
        <v>1.0416666666666685E-2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0.45555555555555555</v>
      </c>
      <c r="C11" s="26"/>
      <c r="D11" s="27">
        <f t="shared" si="1"/>
        <v>0.54444444444444451</v>
      </c>
      <c r="E11" s="28" t="str">
        <f t="shared" si="2"/>
        <v/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0.45347222222222222</v>
      </c>
      <c r="C12" s="29"/>
      <c r="D12" s="30">
        <f t="shared" si="1"/>
        <v>0.54652777777777772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29">
        <v>0.51597222222222228</v>
      </c>
      <c r="C13" s="29"/>
      <c r="D13" s="30">
        <f t="shared" si="1"/>
        <v>0.48402777777777772</v>
      </c>
      <c r="E13" s="16" t="str">
        <f t="shared" si="2"/>
        <v/>
      </c>
      <c r="F13" s="16">
        <f t="shared" si="3"/>
        <v>5.7638888888888962E-2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29">
        <v>0.45416666666666666</v>
      </c>
      <c r="C14" s="29"/>
      <c r="D14" s="30">
        <f t="shared" si="1"/>
        <v>0.54583333333333339</v>
      </c>
      <c r="E14" s="16" t="str">
        <f t="shared" si="2"/>
        <v/>
      </c>
      <c r="F14" s="16">
        <f t="shared" si="3"/>
        <v>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0.45624999999999999</v>
      </c>
      <c r="C15" s="29"/>
      <c r="D15" s="30">
        <f t="shared" si="1"/>
        <v>0.54374999999999996</v>
      </c>
      <c r="E15" s="16" t="str">
        <f t="shared" si="2"/>
        <v/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29">
        <v>0.45624999999999999</v>
      </c>
      <c r="C16" s="29"/>
      <c r="D16" s="30">
        <f t="shared" si="1"/>
        <v>0.54374999999999996</v>
      </c>
      <c r="E16" s="16" t="str">
        <f t="shared" si="2"/>
        <v/>
      </c>
      <c r="F16" s="16">
        <f t="shared" si="3"/>
        <v>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0.45416666666666666</v>
      </c>
      <c r="C18" s="29"/>
      <c r="D18" s="30">
        <f t="shared" si="1"/>
        <v>0.54583333333333339</v>
      </c>
      <c r="E18" s="16" t="str">
        <f t="shared" si="2"/>
        <v/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15">
        <v>45914</v>
      </c>
      <c r="B19" s="31">
        <v>0.45416666666666666</v>
      </c>
      <c r="C19" s="29"/>
      <c r="D19" s="32">
        <f t="shared" si="1"/>
        <v>0.54583333333333339</v>
      </c>
      <c r="E19" s="19" t="str">
        <f t="shared" si="2"/>
        <v/>
      </c>
      <c r="F19" s="19">
        <f t="shared" si="3"/>
        <v>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0.45416666666666666</v>
      </c>
      <c r="C20" s="29"/>
      <c r="D20" s="30">
        <f t="shared" si="1"/>
        <v>0.54583333333333339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0.45416666666666666</v>
      </c>
      <c r="C21" s="29"/>
      <c r="D21" s="16">
        <f t="shared" si="1"/>
        <v>0.54583333333333339</v>
      </c>
      <c r="E21" s="16" t="str">
        <f t="shared" si="2"/>
        <v/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29">
        <v>0.45416666666666666</v>
      </c>
      <c r="C22" s="29"/>
      <c r="D22" s="19">
        <f t="shared" si="1"/>
        <v>0.54583333333333339</v>
      </c>
      <c r="E22" s="19" t="str">
        <f t="shared" si="2"/>
        <v/>
      </c>
      <c r="F22" s="19">
        <f t="shared" si="3"/>
        <v>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0.45</v>
      </c>
      <c r="C23" s="29"/>
      <c r="D23" s="16">
        <f t="shared" si="1"/>
        <v>0.55000000000000004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29">
        <v>0.44930555555555557</v>
      </c>
      <c r="C25" s="29"/>
      <c r="D25" s="16">
        <f t="shared" si="1"/>
        <v>0.55069444444444438</v>
      </c>
      <c r="E25" s="16" t="str">
        <f t="shared" si="2"/>
        <v/>
      </c>
      <c r="F25" s="16">
        <f t="shared" si="3"/>
        <v>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29">
        <v>0.44791666666666669</v>
      </c>
      <c r="C26" s="29"/>
      <c r="D26" s="19">
        <f t="shared" si="1"/>
        <v>0.55208333333333326</v>
      </c>
      <c r="E26" s="19" t="str">
        <f t="shared" si="2"/>
        <v/>
      </c>
      <c r="F26" s="19">
        <f t="shared" si="3"/>
        <v>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29">
        <v>0.45694444444444443</v>
      </c>
      <c r="C27" s="29"/>
      <c r="D27" s="16">
        <f t="shared" si="1"/>
        <v>0.54305555555555562</v>
      </c>
      <c r="E27" s="16" t="str">
        <f t="shared" si="2"/>
        <v/>
      </c>
      <c r="F27" s="16">
        <f t="shared" si="3"/>
        <v>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0.45763888888888887</v>
      </c>
      <c r="C28" s="29"/>
      <c r="D28" s="16">
        <f t="shared" si="1"/>
        <v>0.54236111111111107</v>
      </c>
      <c r="E28" s="16" t="str">
        <f t="shared" si="2"/>
        <v/>
      </c>
      <c r="F28" s="16">
        <f t="shared" si="3"/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0.45277777777777778</v>
      </c>
      <c r="C29" s="29"/>
      <c r="D29" s="19">
        <f t="shared" si="1"/>
        <v>0.54722222222222228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0.4513888888888889</v>
      </c>
      <c r="C30" s="29"/>
      <c r="D30" s="16">
        <f t="shared" si="1"/>
        <v>0.54861111111111116</v>
      </c>
      <c r="E30" s="16" t="str">
        <f t="shared" si="2"/>
        <v/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54">
        <v>45926</v>
      </c>
      <c r="B31" s="55"/>
      <c r="C31" s="55"/>
      <c r="D31" s="59" t="str">
        <f t="shared" si="1"/>
        <v/>
      </c>
      <c r="E31" s="59" t="str">
        <f t="shared" si="2"/>
        <v/>
      </c>
      <c r="F31" s="59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29">
        <v>0.44305555555555554</v>
      </c>
      <c r="C32" s="29"/>
      <c r="D32" s="19">
        <f t="shared" si="1"/>
        <v>0.55694444444444446</v>
      </c>
      <c r="E32" s="16" t="str">
        <f t="shared" si="2"/>
        <v/>
      </c>
      <c r="F32" s="19">
        <f t="shared" si="3"/>
        <v>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29">
        <v>0.45902777777777776</v>
      </c>
      <c r="C33" s="29"/>
      <c r="D33" s="19">
        <f t="shared" si="1"/>
        <v>0.54097222222222219</v>
      </c>
      <c r="E33" s="16" t="str">
        <f t="shared" si="2"/>
        <v/>
      </c>
      <c r="F33" s="19">
        <f t="shared" si="3"/>
        <v>6.9444444444444198E-4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29">
        <v>0.45555555555555555</v>
      </c>
      <c r="C34" s="29"/>
      <c r="D34" s="16">
        <f t="shared" si="1"/>
        <v>0.54444444444444451</v>
      </c>
      <c r="E34" s="16" t="str">
        <f t="shared" si="2"/>
        <v/>
      </c>
      <c r="F34" s="16">
        <f t="shared" si="3"/>
        <v>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0.45694444444444443</v>
      </c>
      <c r="C35" s="29"/>
      <c r="D35" s="19">
        <f t="shared" si="1"/>
        <v>0.54305555555555562</v>
      </c>
      <c r="E35" s="19" t="str">
        <f t="shared" si="2"/>
        <v/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workbookViewId="0"/>
  </sheetViews>
  <sheetFormatPr defaultColWidth="14.44140625" defaultRowHeight="15" customHeight="1" x14ac:dyDescent="0.3"/>
  <cols>
    <col min="1" max="1" width="12.109375" customWidth="1"/>
    <col min="2" max="2" width="15.88671875" customWidth="1"/>
    <col min="3" max="3" width="14" customWidth="1"/>
    <col min="4" max="4" width="13.88671875" customWidth="1"/>
    <col min="5" max="5" width="12.88671875" customWidth="1"/>
    <col min="6" max="6" width="14.109375" customWidth="1"/>
    <col min="7" max="26" width="8.6640625" customWidth="1"/>
  </cols>
  <sheetData>
    <row r="1" spans="1:26" ht="14.25" customHeight="1" x14ac:dyDescent="0.3">
      <c r="A1" s="1"/>
      <c r="B1" s="2" t="s">
        <v>0</v>
      </c>
      <c r="C1" s="2" t="s">
        <v>1</v>
      </c>
      <c r="D1" s="2">
        <v>2025</v>
      </c>
      <c r="E1" s="3"/>
      <c r="F1" s="3"/>
    </row>
    <row r="2" spans="1:26" ht="14.25" customHeight="1" x14ac:dyDescent="0.3">
      <c r="A2" s="62" t="s">
        <v>29</v>
      </c>
      <c r="B2" s="4" t="s">
        <v>3</v>
      </c>
      <c r="C2" s="4" t="s">
        <v>4</v>
      </c>
      <c r="D2" s="4" t="s">
        <v>5</v>
      </c>
      <c r="E2" s="5" t="s">
        <v>6</v>
      </c>
      <c r="F2" s="5"/>
    </row>
    <row r="3" spans="1:26" ht="14.25" customHeight="1" x14ac:dyDescent="0.45">
      <c r="A3" s="63"/>
      <c r="B3" s="6">
        <v>0.45833333333333331</v>
      </c>
      <c r="C3" s="6">
        <v>0.85416666666666663</v>
      </c>
      <c r="D3" s="7"/>
      <c r="E3" s="8">
        <f t="shared" ref="E3:F3" si="0">SUM(E6:E36)</f>
        <v>0</v>
      </c>
      <c r="F3" s="8">
        <f t="shared" si="0"/>
        <v>0.29444444444444462</v>
      </c>
    </row>
    <row r="4" spans="1:26" ht="14.25" customHeight="1" x14ac:dyDescent="0.3">
      <c r="A4" s="9" t="s">
        <v>7</v>
      </c>
      <c r="B4" s="10"/>
      <c r="C4" s="11"/>
      <c r="D4" s="11"/>
      <c r="E4" s="10"/>
      <c r="F4" s="11"/>
    </row>
    <row r="5" spans="1:26" ht="14.25" customHeight="1" x14ac:dyDescent="0.3">
      <c r="A5" s="13" t="s">
        <v>8</v>
      </c>
      <c r="B5" s="14" t="s">
        <v>9</v>
      </c>
      <c r="C5" s="14" t="s">
        <v>10</v>
      </c>
      <c r="D5" s="14" t="s">
        <v>11</v>
      </c>
      <c r="E5" s="14" t="s">
        <v>6</v>
      </c>
      <c r="F5" s="14" t="s">
        <v>12</v>
      </c>
    </row>
    <row r="6" spans="1:26" ht="14.25" customHeight="1" x14ac:dyDescent="0.3">
      <c r="A6" s="15">
        <v>45901</v>
      </c>
      <c r="B6" s="6">
        <v>0.45694444444444443</v>
      </c>
      <c r="C6" s="6"/>
      <c r="D6" s="16">
        <f t="shared" ref="D6:D36" si="1">IF(ISBLANK(B6),"", MOD((C6-B6),1))</f>
        <v>0.54305555555555562</v>
      </c>
      <c r="E6" s="16" t="str">
        <f t="shared" ref="E6:E36" si="2">IF(C6&gt;$C$3,C6-$C$3,"")</f>
        <v/>
      </c>
      <c r="F6" s="16">
        <f t="shared" ref="F6:F36" si="3">IF(ISBLANK(B6),"",IF($B$3&gt;B6,0,(B6-$B$3)))</f>
        <v>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 x14ac:dyDescent="0.3">
      <c r="A7" s="15">
        <v>45902</v>
      </c>
      <c r="B7" s="6">
        <v>0.45763888888888887</v>
      </c>
      <c r="C7" s="6"/>
      <c r="D7" s="16">
        <f t="shared" si="1"/>
        <v>0.54236111111111107</v>
      </c>
      <c r="E7" s="16" t="str">
        <f t="shared" si="2"/>
        <v/>
      </c>
      <c r="F7" s="16">
        <f t="shared" si="3"/>
        <v>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 x14ac:dyDescent="0.3">
      <c r="A8" s="15">
        <v>45903</v>
      </c>
      <c r="B8" s="60">
        <v>0.52222222222222225</v>
      </c>
      <c r="C8" s="18"/>
      <c r="D8" s="19">
        <f t="shared" si="1"/>
        <v>0.47777777777777775</v>
      </c>
      <c r="E8" s="19" t="str">
        <f t="shared" si="2"/>
        <v/>
      </c>
      <c r="F8" s="19">
        <f t="shared" si="3"/>
        <v>6.3888888888888939E-2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 x14ac:dyDescent="0.3">
      <c r="A9" s="15">
        <v>45904</v>
      </c>
      <c r="B9" s="6">
        <v>0.45069444444444445</v>
      </c>
      <c r="C9" s="6"/>
      <c r="D9" s="16">
        <f t="shared" si="1"/>
        <v>0.54930555555555549</v>
      </c>
      <c r="E9" s="16" t="str">
        <f t="shared" si="2"/>
        <v/>
      </c>
      <c r="F9" s="16">
        <f t="shared" si="3"/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 x14ac:dyDescent="0.3">
      <c r="A10" s="25">
        <v>45905</v>
      </c>
      <c r="B10" s="36"/>
      <c r="C10" s="36"/>
      <c r="D10" s="37" t="str">
        <f t="shared" si="1"/>
        <v/>
      </c>
      <c r="E10" s="28" t="str">
        <f t="shared" si="2"/>
        <v/>
      </c>
      <c r="F10" s="33" t="str">
        <f t="shared" si="3"/>
        <v/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 x14ac:dyDescent="0.3">
      <c r="A11" s="25">
        <v>45906</v>
      </c>
      <c r="B11" s="26">
        <v>0.45694444444444443</v>
      </c>
      <c r="C11" s="26"/>
      <c r="D11" s="27">
        <f t="shared" si="1"/>
        <v>0.54305555555555562</v>
      </c>
      <c r="E11" s="28" t="str">
        <f t="shared" si="2"/>
        <v/>
      </c>
      <c r="F11" s="28">
        <f t="shared" si="3"/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 x14ac:dyDescent="0.3">
      <c r="A12" s="15">
        <v>45907</v>
      </c>
      <c r="B12" s="29">
        <v>0.45694444444444443</v>
      </c>
      <c r="C12" s="29"/>
      <c r="D12" s="30">
        <f t="shared" si="1"/>
        <v>0.54305555555555562</v>
      </c>
      <c r="E12" s="16" t="str">
        <f t="shared" si="2"/>
        <v/>
      </c>
      <c r="F12" s="16">
        <f t="shared" si="3"/>
        <v>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 x14ac:dyDescent="0.3">
      <c r="A13" s="15">
        <v>45908</v>
      </c>
      <c r="B13" s="61">
        <v>0.46527777777777779</v>
      </c>
      <c r="C13" s="29"/>
      <c r="D13" s="30">
        <f t="shared" si="1"/>
        <v>0.53472222222222221</v>
      </c>
      <c r="E13" s="16" t="str">
        <f t="shared" si="2"/>
        <v/>
      </c>
      <c r="F13" s="16">
        <f t="shared" si="3"/>
        <v>6.9444444444444753E-3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 x14ac:dyDescent="0.3">
      <c r="A14" s="15">
        <v>45909</v>
      </c>
      <c r="B14" s="61">
        <v>0.46388888888888891</v>
      </c>
      <c r="C14" s="29"/>
      <c r="D14" s="30">
        <f t="shared" si="1"/>
        <v>0.53611111111111109</v>
      </c>
      <c r="E14" s="16" t="str">
        <f t="shared" si="2"/>
        <v/>
      </c>
      <c r="F14" s="16">
        <f t="shared" si="3"/>
        <v>5.5555555555555913E-3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 x14ac:dyDescent="0.3">
      <c r="A15" s="15">
        <v>45910</v>
      </c>
      <c r="B15" s="29">
        <v>0.45833333333333331</v>
      </c>
      <c r="C15" s="29"/>
      <c r="D15" s="30">
        <f t="shared" si="1"/>
        <v>0.54166666666666674</v>
      </c>
      <c r="E15" s="16" t="str">
        <f t="shared" si="2"/>
        <v/>
      </c>
      <c r="F15" s="16">
        <f t="shared" si="3"/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 x14ac:dyDescent="0.3">
      <c r="A16" s="15">
        <v>45911</v>
      </c>
      <c r="B16" s="61">
        <v>0.4777777777777778</v>
      </c>
      <c r="C16" s="29"/>
      <c r="D16" s="30">
        <f t="shared" si="1"/>
        <v>0.52222222222222214</v>
      </c>
      <c r="E16" s="16" t="str">
        <f t="shared" si="2"/>
        <v/>
      </c>
      <c r="F16" s="16">
        <f t="shared" si="3"/>
        <v>1.9444444444444486E-2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 x14ac:dyDescent="0.3">
      <c r="A17" s="25">
        <v>45912</v>
      </c>
      <c r="B17" s="26"/>
      <c r="C17" s="26"/>
      <c r="D17" s="27" t="str">
        <f t="shared" si="1"/>
        <v/>
      </c>
      <c r="E17" s="28" t="str">
        <f t="shared" si="2"/>
        <v/>
      </c>
      <c r="F17" s="28" t="str">
        <f t="shared" si="3"/>
        <v/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 x14ac:dyDescent="0.3">
      <c r="A18" s="15">
        <v>45913</v>
      </c>
      <c r="B18" s="29">
        <v>0.45</v>
      </c>
      <c r="C18" s="29"/>
      <c r="D18" s="30">
        <f t="shared" si="1"/>
        <v>0.55000000000000004</v>
      </c>
      <c r="E18" s="16" t="str">
        <f t="shared" si="2"/>
        <v/>
      </c>
      <c r="F18" s="16">
        <f t="shared" si="3"/>
        <v>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 x14ac:dyDescent="0.3">
      <c r="A19" s="40">
        <v>45914</v>
      </c>
      <c r="B19" s="45"/>
      <c r="C19" s="41"/>
      <c r="D19" s="46" t="str">
        <f t="shared" si="1"/>
        <v/>
      </c>
      <c r="E19" s="42" t="str">
        <f t="shared" si="2"/>
        <v/>
      </c>
      <c r="F19" s="42" t="str">
        <f t="shared" si="3"/>
        <v/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 x14ac:dyDescent="0.3">
      <c r="A20" s="15">
        <v>45915</v>
      </c>
      <c r="B20" s="29">
        <v>0.45763888888888887</v>
      </c>
      <c r="C20" s="29"/>
      <c r="D20" s="30">
        <f t="shared" si="1"/>
        <v>0.54236111111111107</v>
      </c>
      <c r="E20" s="16" t="str">
        <f t="shared" si="2"/>
        <v/>
      </c>
      <c r="F20" s="16">
        <f t="shared" si="3"/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 x14ac:dyDescent="0.3">
      <c r="A21" s="15">
        <v>45916</v>
      </c>
      <c r="B21" s="29">
        <v>0.45833333333333331</v>
      </c>
      <c r="C21" s="29"/>
      <c r="D21" s="16">
        <f t="shared" si="1"/>
        <v>0.54166666666666674</v>
      </c>
      <c r="E21" s="16" t="str">
        <f t="shared" si="2"/>
        <v/>
      </c>
      <c r="F21" s="16">
        <f t="shared" si="3"/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 x14ac:dyDescent="0.3">
      <c r="A22" s="15">
        <v>45917</v>
      </c>
      <c r="B22" s="61">
        <v>0.46458333333333335</v>
      </c>
      <c r="C22" s="29"/>
      <c r="D22" s="19">
        <f t="shared" si="1"/>
        <v>0.53541666666666665</v>
      </c>
      <c r="E22" s="19" t="str">
        <f t="shared" si="2"/>
        <v/>
      </c>
      <c r="F22" s="19">
        <f t="shared" si="3"/>
        <v>6.2500000000000333E-3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 x14ac:dyDescent="0.3">
      <c r="A23" s="15">
        <v>45918</v>
      </c>
      <c r="B23" s="29">
        <v>0.45277777777777778</v>
      </c>
      <c r="C23" s="29"/>
      <c r="D23" s="16">
        <f t="shared" si="1"/>
        <v>0.54722222222222228</v>
      </c>
      <c r="E23" s="16" t="str">
        <f t="shared" si="2"/>
        <v/>
      </c>
      <c r="F23" s="16">
        <f t="shared" si="3"/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 x14ac:dyDescent="0.3">
      <c r="A24" s="25">
        <v>45919</v>
      </c>
      <c r="B24" s="26"/>
      <c r="C24" s="26"/>
      <c r="D24" s="33" t="str">
        <f t="shared" si="1"/>
        <v/>
      </c>
      <c r="E24" s="28" t="str">
        <f t="shared" si="2"/>
        <v/>
      </c>
      <c r="F24" s="33" t="str">
        <f t="shared" si="3"/>
        <v/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 x14ac:dyDescent="0.3">
      <c r="A25" s="15">
        <v>45920</v>
      </c>
      <c r="B25" s="61">
        <v>0.53611111111111109</v>
      </c>
      <c r="C25" s="29"/>
      <c r="D25" s="16">
        <f t="shared" si="1"/>
        <v>0.46388888888888891</v>
      </c>
      <c r="E25" s="16" t="str">
        <f t="shared" si="2"/>
        <v/>
      </c>
      <c r="F25" s="16">
        <f t="shared" si="3"/>
        <v>7.7777777777777779E-2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 x14ac:dyDescent="0.3">
      <c r="A26" s="15">
        <v>45921</v>
      </c>
      <c r="B26" s="61">
        <v>0.46041666666666664</v>
      </c>
      <c r="C26" s="29"/>
      <c r="D26" s="19">
        <f t="shared" si="1"/>
        <v>0.5395833333333333</v>
      </c>
      <c r="E26" s="19" t="str">
        <f t="shared" si="2"/>
        <v/>
      </c>
      <c r="F26" s="19">
        <f t="shared" si="3"/>
        <v>2.0833333333333259E-3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 x14ac:dyDescent="0.3">
      <c r="A27" s="15">
        <v>45922</v>
      </c>
      <c r="B27" s="61">
        <v>0.48402777777777778</v>
      </c>
      <c r="C27" s="29"/>
      <c r="D27" s="16">
        <f t="shared" si="1"/>
        <v>0.51597222222222228</v>
      </c>
      <c r="E27" s="16" t="str">
        <f t="shared" si="2"/>
        <v/>
      </c>
      <c r="F27" s="16">
        <f t="shared" si="3"/>
        <v>2.5694444444444464E-2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 x14ac:dyDescent="0.3">
      <c r="A28" s="15">
        <v>45923</v>
      </c>
      <c r="B28" s="29">
        <v>0.45902777777777776</v>
      </c>
      <c r="C28" s="29"/>
      <c r="D28" s="16">
        <f t="shared" si="1"/>
        <v>0.54097222222222219</v>
      </c>
      <c r="E28" s="16" t="str">
        <f t="shared" si="2"/>
        <v/>
      </c>
      <c r="F28" s="16">
        <f t="shared" si="3"/>
        <v>6.9444444444444198E-4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 x14ac:dyDescent="0.3">
      <c r="A29" s="15">
        <v>45924</v>
      </c>
      <c r="B29" s="29">
        <v>0.45694444444444443</v>
      </c>
      <c r="C29" s="29"/>
      <c r="D29" s="19">
        <f t="shared" si="1"/>
        <v>0.54305555555555562</v>
      </c>
      <c r="E29" s="19" t="str">
        <f t="shared" si="2"/>
        <v/>
      </c>
      <c r="F29" s="19">
        <f t="shared" si="3"/>
        <v>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 x14ac:dyDescent="0.3">
      <c r="A30" s="15">
        <v>45925</v>
      </c>
      <c r="B30" s="29">
        <v>0.45694444444444443</v>
      </c>
      <c r="C30" s="29"/>
      <c r="D30" s="16">
        <f t="shared" si="1"/>
        <v>0.54305555555555562</v>
      </c>
      <c r="E30" s="16" t="str">
        <f t="shared" si="2"/>
        <v/>
      </c>
      <c r="F30" s="16">
        <f t="shared" si="3"/>
        <v>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 x14ac:dyDescent="0.3">
      <c r="A31" s="25">
        <v>45926</v>
      </c>
      <c r="B31" s="26"/>
      <c r="C31" s="26"/>
      <c r="D31" s="33" t="str">
        <f t="shared" si="1"/>
        <v/>
      </c>
      <c r="E31" s="33" t="str">
        <f t="shared" si="2"/>
        <v/>
      </c>
      <c r="F31" s="33" t="str">
        <f t="shared" si="3"/>
        <v/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 x14ac:dyDescent="0.3">
      <c r="A32" s="15">
        <v>45927</v>
      </c>
      <c r="B32" s="61">
        <v>0.51111111111111107</v>
      </c>
      <c r="C32" s="29"/>
      <c r="D32" s="19">
        <f t="shared" si="1"/>
        <v>0.48888888888888893</v>
      </c>
      <c r="E32" s="16" t="str">
        <f t="shared" si="2"/>
        <v/>
      </c>
      <c r="F32" s="19">
        <f t="shared" si="3"/>
        <v>5.2777777777777757E-2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 x14ac:dyDescent="0.3">
      <c r="A33" s="15">
        <v>45928</v>
      </c>
      <c r="B33" s="61">
        <v>0.4597222222222222</v>
      </c>
      <c r="C33" s="29"/>
      <c r="D33" s="19">
        <f t="shared" si="1"/>
        <v>0.54027777777777786</v>
      </c>
      <c r="E33" s="16" t="str">
        <f t="shared" si="2"/>
        <v/>
      </c>
      <c r="F33" s="19">
        <f t="shared" si="3"/>
        <v>1.388888888888884E-3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 x14ac:dyDescent="0.3">
      <c r="A34" s="15">
        <v>45929</v>
      </c>
      <c r="B34" s="61">
        <v>0.49027777777777776</v>
      </c>
      <c r="C34" s="29"/>
      <c r="D34" s="16">
        <f t="shared" si="1"/>
        <v>0.50972222222222219</v>
      </c>
      <c r="E34" s="16" t="str">
        <f t="shared" si="2"/>
        <v/>
      </c>
      <c r="F34" s="16">
        <f t="shared" si="3"/>
        <v>3.1944444444444442E-2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 x14ac:dyDescent="0.3">
      <c r="A35" s="15">
        <v>45930</v>
      </c>
      <c r="B35" s="29">
        <v>0.45694444444444443</v>
      </c>
      <c r="C35" s="29"/>
      <c r="D35" s="19">
        <f t="shared" si="1"/>
        <v>0.54305555555555562</v>
      </c>
      <c r="E35" s="19" t="str">
        <f t="shared" si="2"/>
        <v/>
      </c>
      <c r="F35" s="19">
        <f t="shared" si="3"/>
        <v>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3">
      <c r="A36" s="15"/>
      <c r="B36" s="29"/>
      <c r="C36" s="29"/>
      <c r="D36" s="19" t="str">
        <f t="shared" si="1"/>
        <v/>
      </c>
      <c r="E36" s="16" t="str">
        <f t="shared" si="2"/>
        <v/>
      </c>
      <c r="F36" s="19" t="str">
        <f t="shared" si="3"/>
        <v/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 x14ac:dyDescent="0.3"/>
    <row r="39" spans="1:26" ht="14.25" customHeight="1" x14ac:dyDescent="0.3"/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:A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Sheet_List</vt:lpstr>
      <vt:lpstr>Mehedi</vt:lpstr>
      <vt:lpstr>Sayem</vt:lpstr>
      <vt:lpstr>Mishad</vt:lpstr>
      <vt:lpstr>Samiul</vt:lpstr>
      <vt:lpstr>Shantu</vt:lpstr>
      <vt:lpstr>Biplob</vt:lpstr>
      <vt:lpstr>Siam</vt:lpstr>
      <vt:lpstr>Mamun</vt:lpstr>
      <vt:lpstr>Sanowar</vt:lpstr>
      <vt:lpstr>Rony</vt:lpstr>
      <vt:lpstr>Rana</vt:lpstr>
      <vt:lpstr>Rina</vt:lpstr>
      <vt:lpstr>Shewly</vt:lpstr>
      <vt:lpstr>Jumman</vt:lpstr>
      <vt:lpstr>Hossain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Sayem</dc:creator>
  <cp:lastModifiedBy>APL IT4</cp:lastModifiedBy>
  <dcterms:created xsi:type="dcterms:W3CDTF">2024-04-02T04:56:27Z</dcterms:created>
  <dcterms:modified xsi:type="dcterms:W3CDTF">2026-02-02T14:58:43Z</dcterms:modified>
</cp:coreProperties>
</file>